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F789F611-007F-44E3-87BD-0F481AFAB8A4}" xr6:coauthVersionLast="45" xr6:coauthVersionMax="45" xr10:uidLastSave="{00000000-0000-0000-0000-000000000000}"/>
  <bookViews>
    <workbookView xWindow="-108" yWindow="-108" windowWidth="23256" windowHeight="12576" tabRatio="431" xr2:uid="{D5D6DC84-2708-4F88-90B2-846BB5ED762D}"/>
  </bookViews>
  <sheets>
    <sheet name="result" sheetId="4" r:id="rId1"/>
    <sheet name="comment" sheetId="2" r:id="rId2"/>
  </sheets>
  <functionGroups builtInGroupCount="19"/>
  <definedNames>
    <definedName name="ExternalData_1" localSheetId="0" hidden="1">result!$A$1:$N$221</definedName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2" i="4" l="1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1AD8D4-E552-4657-A4FA-BB6217290488}" keepAlive="1" name="查询 - result" description="与工作簿中“result”查询的连接。" type="5" refreshedVersion="6" background="1" saveData="1">
    <dbPr connection="Provider=Microsoft.Mashup.OleDb.1;Data Source=$Workbook$;Location=result;Extended Properties=&quot;&quot;" command="SELECT * FROM [result]"/>
  </connection>
</connections>
</file>

<file path=xl/sharedStrings.xml><?xml version="1.0" encoding="utf-8"?>
<sst xmlns="http://schemas.openxmlformats.org/spreadsheetml/2006/main" count="6235" uniqueCount="1991">
  <si>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</si>
  <si>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</si>
  <si>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</si>
  <si>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</si>
  <si>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</si>
  <si>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</si>
  <si>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</si>
  <si>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</si>
  <si>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</si>
  <si>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</si>
  <si>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</si>
  <si>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</si>
  <si>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</si>
  <si>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</si>
  <si>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</si>
  <si>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</si>
  <si>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</si>
  <si>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</si>
  <si>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</si>
  <si>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</si>
  <si>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</si>
  <si>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</si>
  <si>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</si>
  <si>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</si>
  <si>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</si>
  <si>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</si>
  <si>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</si>
  <si>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</si>
  <si>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</si>
  <si>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</si>
  <si>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</si>
  <si>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</si>
  <si>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</si>
  <si>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</si>
  <si>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</si>
  <si>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</si>
  <si>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</si>
  <si>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</si>
  <si>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</si>
  <si>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</si>
  <si>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</si>
  <si>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</si>
  <si>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</si>
  <si>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</si>
  <si>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</si>
  <si>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</si>
  <si>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</si>
  <si>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</si>
  <si>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</si>
  <si>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</si>
  <si>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</si>
  <si>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</si>
  <si>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</si>
  <si>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</si>
  <si>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</si>
  <si>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</si>
  <si>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</si>
  <si>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</si>
  <si>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</si>
  <si>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</si>
  <si>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</si>
  <si>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</si>
  <si>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</si>
  <si>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</si>
  <si>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</si>
  <si>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</si>
  <si>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</si>
  <si>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</si>
  <si>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</si>
  <si>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</si>
  <si>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</si>
  <si>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</si>
  <si>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</si>
  <si>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</si>
  <si>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</si>
  <si>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</si>
  <si>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</si>
  <si>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</si>
  <si>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</si>
  <si>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</si>
  <si>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</si>
  <si>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</si>
  <si>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</si>
  <si>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</si>
  <si>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</si>
  <si>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</si>
  <si>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</si>
  <si>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</si>
  <si>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</si>
  <si>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</si>
  <si>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</si>
  <si>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</si>
  <si>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</si>
  <si>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</si>
  <si>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</si>
  <si>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</si>
  <si>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</si>
  <si>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</si>
  <si>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</si>
  <si>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</si>
  <si>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</si>
  <si>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</si>
  <si>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</si>
  <si>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</si>
  <si>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</si>
  <si>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</si>
  <si>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</si>
  <si>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</si>
  <si>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</si>
  <si>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</si>
  <si>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</si>
  <si>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</si>
  <si>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</si>
  <si>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</si>
  <si>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</si>
  <si>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</si>
  <si>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</si>
  <si>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</si>
  <si>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</si>
  <si>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</si>
  <si>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</si>
  <si>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</si>
  <si>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</si>
  <si>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</si>
  <si>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</si>
  <si>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</si>
  <si>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</si>
  <si>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</si>
  <si>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</si>
  <si>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</si>
  <si>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</si>
  <si>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</si>
  <si>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</si>
  <si>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</si>
  <si>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</si>
  <si>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</si>
  <si>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</si>
  <si>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</si>
  <si>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</si>
  <si>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</si>
  <si>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</si>
  <si>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</si>
  <si>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</si>
  <si>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</si>
  <si>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</si>
  <si>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</si>
  <si>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</si>
  <si>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</si>
  <si>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</si>
  <si>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</si>
  <si>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</si>
  <si>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</si>
  <si>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</si>
  <si>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</si>
  <si>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</si>
  <si>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</si>
  <si>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</si>
  <si>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</si>
  <si>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</si>
  <si>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</si>
  <si>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</si>
  <si>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</si>
  <si>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</si>
  <si>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</si>
  <si>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</si>
  <si>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</si>
  <si>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</si>
  <si>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</si>
  <si>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</si>
  <si>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</si>
  <si>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</si>
  <si>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</si>
  <si>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</si>
  <si>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</si>
  <si>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</si>
  <si>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</si>
  <si>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</si>
  <si>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</si>
  <si>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</si>
  <si>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</si>
  <si>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</si>
  <si>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</si>
  <si>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</si>
  <si>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</si>
  <si>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</si>
  <si>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</si>
  <si>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</si>
  <si>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</si>
  <si>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</si>
  <si>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</si>
  <si>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</si>
  <si>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</si>
  <si>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</si>
  <si>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</si>
  <si>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</si>
  <si>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</si>
  <si>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</si>
  <si>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</si>
  <si>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</si>
  <si>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</si>
  <si>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</si>
  <si>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</si>
  <si>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</si>
  <si>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</si>
  <si>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</si>
  <si>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</si>
  <si>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</si>
  <si>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</si>
  <si>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</si>
  <si>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</si>
  <si>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</si>
  <si>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</si>
  <si>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</si>
  <si>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</si>
  <si>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</si>
  <si>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</si>
  <si>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</si>
  <si>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</si>
  <si>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</si>
  <si>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</si>
  <si>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</si>
  <si>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</si>
  <si>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</si>
  <si>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</si>
  <si>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</si>
  <si>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</si>
  <si>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</si>
  <si>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</si>
  <si>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</si>
  <si>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</si>
  <si>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</si>
  <si>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</si>
  <si>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</si>
  <si>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</si>
  <si>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</si>
  <si>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</si>
  <si>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</si>
  <si>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</si>
  <si>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</si>
  <si>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</si>
  <si>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</si>
  <si>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</si>
  <si>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</si>
  <si>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</si>
  <si>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</si>
  <si>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</si>
  <si>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</si>
  <si>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</si>
  <si>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</si>
  <si>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</si>
  <si>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</si>
  <si>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</si>
  <si>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</si>
  <si>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</si>
  <si>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</si>
  <si>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</si>
  <si>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</si>
  <si>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</si>
  <si>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</si>
  <si>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</si>
  <si>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</si>
  <si>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</si>
  <si>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</si>
  <si>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</si>
  <si>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</si>
  <si>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</si>
  <si>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</si>
  <si>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</si>
  <si>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</si>
  <si>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</si>
  <si>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</si>
  <si>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</si>
  <si>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</si>
  <si>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</si>
  <si>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</si>
  <si>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</si>
  <si>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</si>
  <si>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</si>
  <si>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</si>
  <si>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</si>
  <si>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</si>
  <si>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</si>
  <si>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</si>
  <si>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</si>
  <si>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</si>
  <si>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</si>
  <si>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</si>
  <si>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</si>
  <si>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</si>
  <si>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</si>
  <si>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</si>
  <si>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</si>
  <si>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</si>
  <si>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</si>
  <si>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</si>
  <si>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</si>
  <si>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</si>
  <si>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</si>
  <si>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</si>
  <si>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</si>
  <si>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</si>
  <si>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</si>
  <si>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</si>
  <si>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</si>
  <si>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</si>
  <si>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</si>
  <si>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</si>
  <si>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</si>
  <si>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</si>
  <si>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</si>
  <si>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</si>
  <si>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</si>
  <si>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</si>
  <si>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</si>
  <si>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</si>
  <si>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</si>
  <si>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</si>
  <si>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</si>
  <si>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</si>
  <si>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</si>
  <si>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</si>
  <si>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</si>
  <si>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</si>
  <si>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</si>
  <si>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</si>
  <si>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</si>
  <si>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</si>
  <si>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</si>
  <si>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</si>
  <si>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</si>
  <si>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</si>
  <si>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</si>
  <si>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</si>
  <si>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</si>
  <si>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</si>
  <si>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</si>
  <si>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</si>
  <si>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</si>
  <si>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</si>
  <si>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</si>
  <si>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</si>
  <si>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</si>
  <si>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</si>
  <si>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</si>
  <si>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</si>
  <si>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</si>
  <si>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</si>
  <si>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</si>
  <si>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</si>
  <si>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</si>
  <si>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</si>
  <si>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</si>
  <si>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</si>
  <si>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</si>
  <si>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</si>
  <si>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</si>
  <si>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</si>
  <si>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</si>
  <si>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</si>
  <si>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</si>
  <si>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</si>
  <si>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</si>
  <si>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</si>
  <si>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</si>
  <si>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</si>
  <si>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</si>
  <si>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</si>
  <si>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</si>
  <si>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</si>
  <si>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</si>
  <si>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</si>
  <si>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</si>
  <si>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</si>
  <si>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</si>
  <si>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</si>
  <si>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</si>
  <si>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</si>
  <si>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</si>
  <si>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</si>
  <si>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</si>
  <si>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</si>
  <si>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</si>
  <si>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</si>
  <si>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</si>
  <si>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</si>
  <si>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</si>
  <si>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</si>
  <si>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</si>
  <si>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</si>
  <si>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</si>
  <si>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</si>
  <si>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</si>
  <si>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</si>
  <si>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</si>
  <si>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</si>
  <si>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</si>
  <si>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</si>
  <si>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</si>
  <si>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</si>
  <si>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</si>
  <si>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</si>
  <si>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</si>
  <si>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</si>
  <si>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</si>
  <si>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</si>
  <si>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</si>
  <si>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</si>
  <si>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</si>
  <si>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</si>
  <si>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</si>
  <si>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</si>
  <si>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</si>
  <si>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</si>
  <si>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</si>
  <si>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</si>
  <si>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</si>
  <si>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</si>
  <si>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</si>
  <si>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</si>
  <si>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</si>
  <si>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</si>
  <si>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</si>
  <si>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</si>
  <si>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</si>
  <si>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</si>
  <si>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</si>
  <si>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</si>
  <si>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</si>
  <si>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</si>
  <si>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</si>
  <si>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</si>
  <si>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</si>
  <si>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</si>
  <si>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</si>
  <si>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</si>
  <si>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</si>
  <si>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</si>
  <si>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</si>
  <si>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</si>
  <si>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</si>
  <si>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</si>
  <si>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</si>
  <si>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</si>
  <si>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</si>
  <si>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</si>
  <si>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</si>
  <si>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</si>
  <si>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</si>
  <si>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</si>
  <si>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</si>
  <si>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</si>
  <si>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</si>
  <si>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</si>
  <si>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</si>
  <si>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</si>
  <si>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</si>
  <si>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</si>
  <si>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</si>
  <si>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</si>
  <si>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</si>
  <si>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</si>
  <si>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</si>
  <si>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</si>
  <si>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</si>
  <si>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</si>
  <si>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</si>
  <si>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</si>
  <si>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</si>
  <si>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</si>
  <si>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</si>
  <si>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</si>
  <si>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</si>
  <si>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</si>
  <si>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</si>
  <si>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</si>
  <si>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</si>
  <si>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</si>
  <si>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</si>
  <si>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</si>
  <si>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</si>
  <si>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</si>
  <si>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</si>
  <si>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</si>
  <si>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</si>
  <si>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</si>
  <si>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</si>
  <si>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</si>
  <si>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</si>
  <si>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</si>
  <si>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</si>
  <si>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</si>
  <si>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</si>
  <si>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</si>
  <si>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</si>
  <si>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</si>
  <si>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</si>
  <si>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</si>
  <si>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</si>
  <si>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</si>
  <si>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</si>
  <si>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</si>
  <si>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</si>
  <si>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</si>
  <si>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</si>
  <si>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</si>
  <si>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</si>
  <si>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</si>
  <si>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</si>
  <si>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</si>
  <si>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</si>
  <si>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</si>
  <si>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</si>
  <si>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</si>
  <si>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</si>
  <si>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</si>
  <si>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</si>
  <si>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</si>
  <si>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</si>
  <si>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</si>
  <si>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</si>
  <si>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</si>
  <si>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</si>
  <si>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</si>
  <si>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</si>
  <si>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</si>
  <si>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</si>
  <si>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</si>
  <si>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</si>
  <si>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</si>
  <si>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</si>
  <si>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</si>
  <si>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</si>
  <si>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</si>
  <si>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</si>
  <si>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</si>
  <si>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</si>
  <si>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</si>
  <si>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</si>
  <si>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</si>
  <si>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</si>
  <si>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</si>
  <si>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</si>
  <si>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</si>
  <si>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</si>
  <si>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</si>
  <si>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</si>
  <si>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</si>
  <si>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</si>
  <si>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</si>
  <si>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</si>
  <si>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</si>
  <si>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</si>
  <si>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</si>
  <si>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</si>
  <si>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</si>
  <si>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</si>
  <si>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</si>
  <si>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</si>
  <si>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</si>
  <si>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</si>
  <si>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</si>
  <si>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</si>
  <si>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</si>
  <si>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</si>
  <si>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</si>
  <si>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</si>
  <si>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</si>
  <si>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</si>
  <si>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</si>
  <si>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</si>
  <si>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</si>
  <si>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</si>
  <si>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</si>
  <si>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</si>
  <si>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</si>
  <si>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</si>
  <si>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</si>
  <si>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</si>
  <si>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</si>
  <si>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</si>
  <si>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</si>
  <si>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</si>
  <si>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</si>
  <si>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</si>
  <si>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</si>
  <si>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</si>
  <si>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</si>
  <si>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</si>
  <si>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</si>
  <si>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</si>
  <si>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</si>
  <si>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</si>
  <si>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</si>
  <si>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</si>
  <si>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</si>
  <si>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</si>
  <si>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</si>
  <si>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</si>
  <si>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</si>
  <si>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</si>
  <si>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</si>
  <si>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</si>
  <si>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</si>
  <si>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</si>
  <si>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</si>
  <si>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</si>
  <si>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</si>
  <si>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</si>
  <si>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</si>
  <si>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</si>
  <si>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</si>
  <si>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</si>
  <si>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</si>
  <si>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</si>
  <si>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</si>
  <si>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</si>
  <si>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</si>
  <si>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</si>
  <si>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</si>
  <si>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</si>
  <si>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</si>
  <si>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</si>
  <si>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</si>
  <si>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</si>
  <si>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</si>
  <si>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</si>
  <si>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</si>
  <si>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</si>
  <si>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</si>
  <si>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</si>
  <si>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</si>
  <si>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</si>
  <si>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</si>
  <si>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</si>
  <si>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</si>
  <si>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</si>
  <si>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</si>
  <si>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</si>
  <si>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</si>
  <si>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</si>
  <si>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</si>
  <si>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</si>
  <si>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</si>
  <si>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</si>
  <si>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</si>
  <si>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</si>
  <si>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</si>
  <si>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</si>
  <si>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</si>
  <si>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</si>
  <si>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</si>
  <si>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</si>
  <si>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</si>
  <si>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</si>
  <si>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</si>
  <si>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</si>
  <si>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</si>
  <si>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</si>
  <si>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</si>
  <si>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</si>
  <si>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</si>
  <si>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</si>
  <si>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</si>
  <si>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</si>
  <si>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</si>
  <si>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</si>
  <si>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</si>
  <si>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</si>
  <si>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</si>
  <si>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</si>
  <si>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</si>
  <si>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</si>
  <si>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</si>
  <si>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</si>
  <si>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</si>
  <si>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</si>
  <si>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</si>
  <si>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</si>
  <si>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</si>
  <si>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</si>
  <si>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</si>
  <si>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</si>
  <si>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</si>
  <si>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</si>
  <si>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</si>
  <si>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</si>
  <si>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</si>
  <si>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</si>
  <si>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</si>
  <si>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</si>
  <si>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</si>
  <si>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</si>
  <si>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</si>
  <si>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</si>
  <si>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</si>
  <si>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</si>
  <si>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</si>
  <si>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</si>
  <si>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</si>
  <si>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</si>
  <si>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</si>
  <si>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</si>
  <si>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</si>
  <si>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</si>
  <si>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</si>
  <si>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</si>
  <si>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</si>
  <si>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</si>
  <si>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</si>
  <si>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</si>
  <si>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</si>
  <si>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</si>
  <si>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</si>
  <si>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</si>
  <si>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</si>
  <si>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</si>
  <si>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</si>
  <si>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</si>
  <si>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</si>
  <si>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</si>
  <si>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</si>
  <si>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</si>
  <si>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</si>
  <si>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</si>
  <si>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</si>
  <si>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</si>
  <si>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</si>
  <si>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</si>
  <si>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</si>
  <si>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</si>
  <si>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</si>
  <si>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</si>
  <si>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</si>
  <si>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</si>
  <si>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</si>
  <si>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</si>
  <si>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</si>
  <si>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</si>
  <si>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</si>
  <si>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</si>
  <si>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</si>
  <si>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</si>
  <si>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</si>
  <si>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</si>
  <si>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</si>
  <si>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</si>
  <si>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</si>
  <si>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</si>
  <si>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</si>
  <si>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</si>
  <si>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</si>
  <si>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</si>
  <si>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</si>
  <si>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</si>
  <si>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</si>
  <si>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</si>
  <si>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</si>
  <si>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</si>
  <si>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</si>
  <si>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</si>
  <si>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</si>
  <si>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</si>
  <si>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</si>
  <si>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</si>
  <si>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</si>
  <si>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</si>
  <si>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</si>
  <si>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</si>
  <si>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</si>
  <si>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</si>
  <si>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</si>
  <si>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</si>
  <si>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</si>
  <si>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</si>
  <si>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</si>
  <si>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</si>
  <si>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</si>
  <si>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</si>
  <si>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</si>
  <si>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</si>
  <si>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</si>
  <si>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</si>
  <si>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</si>
  <si>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</si>
  <si>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</si>
  <si>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</si>
  <si>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</si>
  <si>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</si>
  <si>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</si>
  <si>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</si>
  <si>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</si>
  <si>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</si>
  <si>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</si>
  <si>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</si>
  <si>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</si>
  <si>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</si>
  <si>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</si>
  <si>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</si>
  <si>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</si>
  <si>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</si>
  <si>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</si>
  <si>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</si>
  <si>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</si>
  <si>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</si>
  <si>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</si>
  <si>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</si>
  <si>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</si>
  <si>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</si>
  <si>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</si>
  <si>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</si>
  <si>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</si>
  <si>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</si>
  <si>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</si>
  <si>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</si>
  <si>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</si>
  <si>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</si>
  <si>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</si>
  <si>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</si>
  <si>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</si>
  <si>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</si>
  <si>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</si>
  <si>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</si>
  <si>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</si>
  <si>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</si>
  <si>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</si>
  <si>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</si>
  <si>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</si>
  <si>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</si>
  <si>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</si>
  <si>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</si>
  <si>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</si>
  <si>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</si>
  <si>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</si>
  <si>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</si>
  <si>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</si>
  <si>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</si>
  <si>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</si>
  <si>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</si>
  <si>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</si>
  <si>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</si>
  <si>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</si>
  <si>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</si>
  <si>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</si>
  <si>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</si>
  <si>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</si>
  <si>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</si>
  <si>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</si>
  <si>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</si>
  <si>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</si>
  <si>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</si>
  <si>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</si>
  <si>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</si>
  <si>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</si>
  <si>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</si>
  <si>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</si>
  <si>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</si>
  <si>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</si>
  <si>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</si>
  <si>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</si>
  <si>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</si>
  <si>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</si>
  <si>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</si>
  <si>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</si>
  <si>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</si>
  <si>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</si>
  <si>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</si>
  <si>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</si>
  <si>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</si>
  <si>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</si>
  <si>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</si>
  <si>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</si>
  <si>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</si>
  <si>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</si>
  <si>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</si>
  <si>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</si>
  <si>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</si>
  <si>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</si>
  <si>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</si>
  <si>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</si>
  <si>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</si>
  <si>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</si>
  <si>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</si>
  <si>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</si>
  <si>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</si>
  <si>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</si>
  <si>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</si>
  <si>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</si>
  <si>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</si>
  <si>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</si>
  <si>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</si>
  <si>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</si>
  <si>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</si>
  <si>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</si>
  <si>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</si>
  <si>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</si>
  <si>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</si>
  <si>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</si>
  <si>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</si>
  <si>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</si>
  <si>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</si>
  <si>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</si>
  <si>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</si>
  <si>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</si>
  <si>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</si>
  <si>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</si>
  <si>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</si>
  <si>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</si>
  <si>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</si>
  <si>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</si>
  <si>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</si>
  <si>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</si>
  <si>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</si>
  <si>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</si>
  <si>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</si>
  <si>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</si>
  <si>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</si>
  <si>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</si>
  <si>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</si>
  <si>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</si>
  <si>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</si>
  <si>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</si>
  <si>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</si>
  <si>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</si>
  <si>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</si>
  <si>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</si>
  <si>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</si>
  <si>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</si>
  <si>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</si>
  <si>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</si>
  <si>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</si>
  <si>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</si>
  <si>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</si>
  <si>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</si>
  <si>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</si>
  <si>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</si>
  <si>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</si>
  <si>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</si>
  <si>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</si>
  <si>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</si>
  <si>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</si>
  <si>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</si>
  <si>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</si>
  <si>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</si>
  <si>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</si>
  <si>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</si>
  <si>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</si>
  <si>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</si>
  <si>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</si>
  <si>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</si>
  <si>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</si>
  <si>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</si>
  <si>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</si>
  <si>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</si>
  <si>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</si>
  <si>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</si>
  <si>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</si>
  <si>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</si>
  <si>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</si>
  <si>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</si>
  <si>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</si>
  <si>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</si>
  <si>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</si>
  <si>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</si>
  <si>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</si>
  <si>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</si>
  <si>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</si>
  <si>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</si>
  <si>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</si>
  <si>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</si>
  <si>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</si>
  <si>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</si>
  <si>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</si>
  <si>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</si>
  <si>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</si>
  <si>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</si>
  <si>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</si>
  <si>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</si>
  <si>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</si>
  <si>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</si>
  <si>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</si>
  <si>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</si>
  <si>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</si>
  <si>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</si>
  <si>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</si>
  <si>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</si>
  <si>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</si>
  <si>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</si>
  <si>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</si>
  <si>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</si>
  <si>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</si>
  <si>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</si>
  <si>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</si>
  <si>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</si>
  <si>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</si>
  <si>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</si>
  <si>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</si>
  <si>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</si>
  <si>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</si>
  <si>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</si>
  <si>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</si>
  <si>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</si>
  <si>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</si>
  <si>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</si>
  <si>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</si>
  <si>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</si>
  <si>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</si>
  <si>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</si>
  <si>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</si>
  <si>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</si>
  <si>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</si>
  <si>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</si>
  <si>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</si>
  <si>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</si>
  <si>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</si>
  <si>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</si>
  <si>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</si>
  <si>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</si>
  <si>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</si>
  <si>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</si>
  <si>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</si>
  <si>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</si>
  <si>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</si>
  <si>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</si>
  <si>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</si>
  <si>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</si>
  <si>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</si>
  <si>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</si>
  <si>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</si>
  <si>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</si>
  <si>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</si>
  <si>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</si>
  <si>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</si>
  <si>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</si>
  <si>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</si>
  <si>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</si>
  <si>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</si>
  <si>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</si>
  <si>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</si>
  <si>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</si>
  <si>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</si>
  <si>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</si>
  <si>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</si>
  <si>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</si>
  <si>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</si>
  <si>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</si>
  <si>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</si>
  <si>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</si>
  <si>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</si>
  <si>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</si>
  <si>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</si>
  <si>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</si>
  <si>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</si>
  <si>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</si>
  <si>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</si>
  <si>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</si>
  <si>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</si>
  <si>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</si>
  <si>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</si>
  <si>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</si>
  <si>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</si>
  <si>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</si>
  <si>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</si>
  <si>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</si>
  <si>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</si>
  <si>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</si>
  <si>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</si>
  <si>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</si>
  <si>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</si>
  <si>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</si>
  <si>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</si>
  <si>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</si>
  <si>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</si>
  <si>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</si>
  <si>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</si>
  <si>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</si>
  <si>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</si>
  <si>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</si>
  <si>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</si>
  <si>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</si>
  <si>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</si>
  <si>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</si>
  <si>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</si>
  <si>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</si>
  <si>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</si>
  <si>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</si>
  <si>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</si>
  <si>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</si>
  <si>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</si>
  <si>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</si>
  <si>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</si>
  <si>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</si>
  <si>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</si>
  <si>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</si>
  <si>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</si>
  <si>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</si>
  <si>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</si>
  <si>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</si>
  <si>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</si>
  <si>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</si>
  <si>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</si>
  <si>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</si>
  <si>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</si>
  <si>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</si>
  <si>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</si>
  <si>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</si>
  <si>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</si>
  <si>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</si>
  <si>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</si>
  <si>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</si>
  <si>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</si>
  <si>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</si>
  <si>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</si>
  <si>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</si>
  <si>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</si>
  <si>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</si>
  <si>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</si>
  <si>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</si>
  <si>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</si>
  <si>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</si>
  <si>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</si>
  <si>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</si>
  <si>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</si>
  <si>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</si>
  <si>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</si>
  <si>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</si>
  <si>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</si>
  <si>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</si>
  <si>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</si>
  <si>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</si>
  <si>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</si>
  <si>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</si>
  <si>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</si>
  <si>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</si>
  <si>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</si>
  <si>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</si>
  <si>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</si>
  <si>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</si>
  <si>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</si>
  <si>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</si>
  <si>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</si>
  <si>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</si>
  <si>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</si>
  <si>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</si>
  <si>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</si>
  <si>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</si>
  <si>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</si>
  <si>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</si>
  <si>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</si>
  <si>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</si>
  <si>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</si>
  <si>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</si>
  <si>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</si>
  <si>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</si>
  <si>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</si>
  <si>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</si>
  <si>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</si>
  <si>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</si>
  <si>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</si>
  <si>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</si>
  <si>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</si>
  <si>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</si>
  <si>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</si>
  <si>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</si>
  <si>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</si>
  <si>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</si>
  <si>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</si>
  <si>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</si>
  <si>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</si>
  <si>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</si>
  <si>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</si>
  <si>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</si>
  <si>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</si>
  <si>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</si>
  <si>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</si>
  <si>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</si>
  <si>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</si>
  <si>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</si>
  <si>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</si>
  <si>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</si>
  <si>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</si>
  <si>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</si>
  <si>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</si>
  <si>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</si>
  <si>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</si>
  <si>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</si>
  <si>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</si>
  <si>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</si>
  <si>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</si>
  <si>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</si>
  <si>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</si>
  <si>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</si>
  <si>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</si>
  <si>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</si>
  <si>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</si>
  <si>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</si>
  <si>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</si>
  <si>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</si>
  <si>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</si>
  <si>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</si>
  <si>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</si>
  <si>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</si>
  <si>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</si>
  <si>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</si>
  <si>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</si>
  <si>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</si>
  <si>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</si>
  <si>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</si>
  <si>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</si>
  <si>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</si>
  <si>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</si>
  <si>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</si>
  <si>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</si>
  <si>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</si>
  <si>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</si>
  <si>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</si>
  <si>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</si>
  <si>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</si>
  <si>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</si>
  <si>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</si>
  <si>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</si>
  <si>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</si>
  <si>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</si>
  <si>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</si>
  <si>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</si>
  <si>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</si>
  <si>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</si>
  <si>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</si>
  <si>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</si>
  <si>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</si>
  <si>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</si>
  <si>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</si>
  <si>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</si>
  <si>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</si>
  <si>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</si>
  <si>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</si>
  <si>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</si>
  <si>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</si>
  <si>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</si>
  <si>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</si>
  <si>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</si>
  <si>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</si>
  <si>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</si>
  <si>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</si>
  <si>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</si>
  <si>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</si>
  <si>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</si>
  <si>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</si>
  <si>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</si>
  <si>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</si>
  <si>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</si>
  <si>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</si>
  <si>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</si>
  <si>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</si>
  <si>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</si>
  <si>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</si>
  <si>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</si>
  <si>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</si>
  <si>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</si>
  <si>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</si>
  <si>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</si>
  <si>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</si>
  <si>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</si>
  <si>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</si>
  <si>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</si>
  <si>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</si>
  <si>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</si>
  <si>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</si>
  <si>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</si>
  <si>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</si>
  <si>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</si>
  <si>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</si>
  <si>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</si>
  <si>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</si>
  <si>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</si>
  <si>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</si>
  <si>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</si>
  <si>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</si>
  <si>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</si>
  <si>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</si>
  <si>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</si>
  <si>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</si>
  <si>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</si>
  <si>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</si>
  <si>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</si>
  <si>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</si>
  <si>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</si>
  <si>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</si>
  <si>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</si>
  <si>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</si>
  <si>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</si>
  <si>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</si>
  <si>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</si>
  <si>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</si>
  <si>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</si>
  <si>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</si>
  <si>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</si>
  <si>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</si>
  <si>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</si>
  <si>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</si>
  <si>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</si>
  <si>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</si>
  <si>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</si>
  <si>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</si>
  <si>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</si>
  <si>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</si>
  <si>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</si>
  <si>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</si>
  <si>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</si>
  <si>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</si>
  <si>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</si>
  <si>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</si>
  <si>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</si>
  <si>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</si>
  <si>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</si>
  <si>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</si>
  <si>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</si>
  <si>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</si>
  <si>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</si>
  <si>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</si>
  <si>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</si>
  <si>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</si>
  <si>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</si>
  <si>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</si>
  <si>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</si>
  <si>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</si>
  <si>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</si>
  <si>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</si>
  <si>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</si>
  <si>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</si>
  <si>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</si>
  <si>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</si>
  <si>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</si>
  <si>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</si>
  <si>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</si>
  <si>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</si>
  <si>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</si>
  <si>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</si>
  <si>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</si>
  <si>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</si>
  <si>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</si>
  <si>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</si>
  <si>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</si>
  <si>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</si>
  <si>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</si>
  <si>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</si>
  <si>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</si>
  <si>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</si>
  <si>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</si>
  <si>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</si>
  <si>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</si>
  <si>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</si>
  <si>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</si>
  <si>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</si>
  <si>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</si>
  <si>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</si>
  <si>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</si>
  <si>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</si>
  <si>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</si>
  <si>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</si>
  <si>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</si>
  <si>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</si>
  <si>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</si>
  <si>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</si>
  <si>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</si>
  <si>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</si>
  <si>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</si>
  <si>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</si>
  <si>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</si>
  <si>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</si>
  <si>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</si>
  <si>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</si>
  <si>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</si>
  <si>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</si>
  <si>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</si>
  <si>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</si>
  <si>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</si>
  <si>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</si>
  <si>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</si>
  <si>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</si>
  <si>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</si>
  <si>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</si>
  <si>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</si>
  <si>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</si>
  <si>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</si>
  <si>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</si>
  <si>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</si>
  <si>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</si>
  <si>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</si>
  <si>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</si>
  <si>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</si>
  <si>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</si>
  <si>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</si>
  <si>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</si>
  <si>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</si>
  <si>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</si>
  <si>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</si>
  <si>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</si>
  <si>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</si>
  <si>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</si>
  <si>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</si>
  <si>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</si>
  <si>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</si>
  <si>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</si>
  <si>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</si>
  <si>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</si>
  <si>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</si>
  <si>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</si>
  <si>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</si>
  <si>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</si>
  <si>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</si>
  <si>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</si>
  <si>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_ID_</t>
    <phoneticPr fontId="1" type="noConversion"/>
  </si>
  <si>
    <t>Environment</t>
  </si>
  <si>
    <t>Forest</t>
  </si>
  <si>
    <t>EOP DC</t>
  </si>
  <si>
    <t>IPAM DC</t>
  </si>
  <si>
    <t>Prefix ID</t>
  </si>
  <si>
    <t>gallatin</t>
  </si>
  <si>
    <t>bjb</t>
  </si>
  <si>
    <t>EOP datacenter bjb has no Azure name</t>
  </si>
  <si>
    <t>gallatin-w15</t>
  </si>
  <si>
    <t>gls09</t>
  </si>
  <si>
    <t>mnz</t>
  </si>
  <si>
    <t>apc01</t>
  </si>
  <si>
    <t>pu1</t>
  </si>
  <si>
    <t>25.154.254.4</t>
  </si>
  <si>
    <t>25.154.254.0/25</t>
  </si>
  <si>
    <t>InvalidRegion</t>
  </si>
  <si>
    <t>EOP: APC-PU1APC01 - IPv4_CAP - IPV4_A_MGMTILO</t>
  </si>
  <si>
    <t>c21ab4dd-d300-45bd-9ee1-0af41e17c23c</t>
  </si>
  <si>
    <t>ps2</t>
  </si>
  <si>
    <t>sga</t>
  </si>
  <si>
    <t>aus01</t>
  </si>
  <si>
    <t>sy3</t>
  </si>
  <si>
    <t>EOP: AUS01-SY3 - IPv4_CAP - IPv4_Unknown</t>
  </si>
  <si>
    <t>29e25bd5-ac1c-4278-bfe8-c1de92220bd6</t>
  </si>
  <si>
    <t>can01</t>
  </si>
  <si>
    <t>to1</t>
  </si>
  <si>
    <t>EOP: CAN01-TO1 - IPv4_CAP - IPv4_Unknown</t>
  </si>
  <si>
    <t>e991b9f9-e44a-4801-aeaf-53dd38ee4a04</t>
  </si>
  <si>
    <t>chn02</t>
  </si>
  <si>
    <t>bjs</t>
  </si>
  <si>
    <t>10.41.78.4</t>
  </si>
  <si>
    <t>10.41.64.0/19</t>
  </si>
  <si>
    <t>WrongAddressSpace</t>
  </si>
  <si>
    <t>Should be in address space GalaCake</t>
  </si>
  <si>
    <t>MSN: Bay Secure BE</t>
  </si>
  <si>
    <t>105beb87-105b-472a-aae5-1821dc25460f</t>
  </si>
  <si>
    <t>sh0</t>
  </si>
  <si>
    <t>d87b5fa9-3f5c-4e01-9312-6f1655763fb9</t>
  </si>
  <si>
    <t>Datacenter should not be empty</t>
  </si>
  <si>
    <t>fsdf</t>
  </si>
  <si>
    <t>by1</t>
  </si>
  <si>
    <t>Datacenter AM1 does not match EOP name by1</t>
  </si>
  <si>
    <t>5d0ce430-76ce-4032-a903-6cb130784ab0</t>
  </si>
  <si>
    <t>sha</t>
  </si>
  <si>
    <t>fd78dc2f-ca34-4778-ab38-e61a0906c684</t>
  </si>
  <si>
    <t>30fe7475-4b41-4216-b31d-9635502c2871</t>
  </si>
  <si>
    <t>10.41.2.22</t>
  </si>
  <si>
    <t>10.41.0.0/22</t>
  </si>
  <si>
    <t>DM2: CTP: Network expansion - Datacenter implies AvailabilityZone (uscentral-AZ01)</t>
  </si>
  <si>
    <t>136ff4ee-a3e3-4f70-84fc-2dea5bd899b6</t>
  </si>
  <si>
    <t>gls01</t>
  </si>
  <si>
    <t>dm6</t>
  </si>
  <si>
    <t>hk2</t>
  </si>
  <si>
    <t>1d86e446-850a-4b4c-b09d-b76ee21a720f</t>
  </si>
  <si>
    <t>gls06</t>
  </si>
  <si>
    <t>fra</t>
  </si>
  <si>
    <t>EOP: GLS06-FRA - IPv4_CAP - IPv4_Unknown</t>
  </si>
  <si>
    <t>297f0d14-6e81-43cd-9632-003e00cc0235</t>
  </si>
  <si>
    <t>gls07</t>
  </si>
  <si>
    <t>cy1</t>
  </si>
  <si>
    <t>f5eec8a6-02fa-4e8d-9975-d3014a32e562</t>
  </si>
  <si>
    <t>lej</t>
  </si>
  <si>
    <t>EOP: GLS06-LEJUnknown - IPv4_CAP - IPv4_Unknown</t>
  </si>
  <si>
    <t>61ba4259-f70f-4f96-835f-d8736041862e</t>
  </si>
  <si>
    <t>Should be in address space RX</t>
  </si>
  <si>
    <t>5ad7de25-ce63-4472-913b-1022f7bda0d0</t>
  </si>
  <si>
    <t>gls10</t>
  </si>
  <si>
    <t>gz0</t>
  </si>
  <si>
    <t>0.0.0.0/0</t>
  </si>
  <si>
    <t>Should be in address space EX</t>
  </si>
  <si>
    <t>IPv4</t>
  </si>
  <si>
    <t>f0dfa92a-be25-4443-89f4-b3703e531229</t>
  </si>
  <si>
    <t>sn8</t>
  </si>
  <si>
    <t>843a0782-7fe9-4fd5-b759-6b6dcea6edd9</t>
  </si>
  <si>
    <t>gtm-fsdf</t>
  </si>
  <si>
    <t>sn2</t>
  </si>
  <si>
    <t>10.111.201.33</t>
  </si>
  <si>
    <t>10.111.201.0/24</t>
  </si>
  <si>
    <t>SN2</t>
  </si>
  <si>
    <t>EOP: GTM-FSDF-SN2Unknown - IPv4_CAP - IPv4_CAP</t>
  </si>
  <si>
    <t>a407979a-5488-4f5c-bacf-17f6a12bc07b</t>
  </si>
  <si>
    <t>0d37ad6f-a4c8-4378-a007-fbce39e51cc3</t>
  </si>
  <si>
    <t>sn5</t>
  </si>
  <si>
    <t>aec300af-98d7-4427-bf2b-bdc07142c60c</t>
  </si>
  <si>
    <t>::/0</t>
  </si>
  <si>
    <t>9bf3b3c9-3245-4286-bc92-4cbe67f4d48d</t>
  </si>
  <si>
    <t>rz0</t>
  </si>
  <si>
    <t>2001:489a:2202:2001::</t>
  </si>
  <si>
    <t>2001:489a:2202:2000::/63</t>
  </si>
  <si>
    <t>EOP: HRIGBL V6 Office 365 U.S. Government DOD, Office 365 U.S. Government GCC High</t>
  </si>
  <si>
    <t>2aa22b32-9992-4364-b5e7-75adda641334</t>
  </si>
  <si>
    <t>fd35:eef2:2500:0004::</t>
  </si>
  <si>
    <t>fd35:eef2::/32</t>
  </si>
  <si>
    <t>ULA space for Isolated environments</t>
  </si>
  <si>
    <t>ef03d5d8-00aa-41dc-980d-3f18de068f7b</t>
  </si>
  <si>
    <t>nor01</t>
  </si>
  <si>
    <t>sap01</t>
  </si>
  <si>
    <t>ps1</t>
  </si>
  <si>
    <t>EOP: SAP01-PS1 - IPv4_CAP - IPV4_SONCAP</t>
  </si>
  <si>
    <t>03e324b1-7499-4244-ad15-e36a4126e82f</t>
  </si>
  <si>
    <t>scn01</t>
  </si>
  <si>
    <t>10.10.57.132</t>
  </si>
  <si>
    <t>10.10.32.0/19</t>
  </si>
  <si>
    <t>MGFX P2P Private</t>
  </si>
  <si>
    <t>e6390fad-24f0-4203-a10c-f45c893fe91a</t>
  </si>
  <si>
    <t>85afbf88-8989-43af-a76f-2def9a41da92</t>
  </si>
  <si>
    <t>son01</t>
  </si>
  <si>
    <t>co1</t>
  </si>
  <si>
    <t>EOP: SON01-CO1Unknown - IPv4_CAP - IPv4_Unknown</t>
  </si>
  <si>
    <t>22e2eb11-ab10-487e-bc67-1901c0645133</t>
  </si>
  <si>
    <t>son02</t>
  </si>
  <si>
    <t>GalaCake</t>
  </si>
  <si>
    <t>apac</t>
  </si>
  <si>
    <t>Should be in address space Default</t>
  </si>
  <si>
    <t>08a2d008-e707-4301-a969-7caee453df0a</t>
  </si>
  <si>
    <t>hk1</t>
  </si>
  <si>
    <t>10.0.0.0/8</t>
  </si>
  <si>
    <t>IPV4 Backend</t>
  </si>
  <si>
    <t>3f8831aa-5fe0-42c7-80a3-d2c904b23a56</t>
  </si>
  <si>
    <t>func</t>
  </si>
  <si>
    <t>10.10.0.0/19</t>
  </si>
  <si>
    <t>EOP: CN-CN - Capacity Block - Any MF China North Capacity Block -</t>
  </si>
  <si>
    <t>b88d0a20-4b90-4b99-8e76-e767aa111786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</si>
  <si>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</si>
  <si>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</si>
  <si>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</si>
  <si>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</si>
  <si>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</si>
  <si>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</si>
  <si>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cd296f6e-eec8-40cc-8fa3-0651b7a9e25e</t>
  </si>
  <si>
    <t>SHA20</t>
  </si>
  <si>
    <t>China East 2</t>
  </si>
  <si>
    <t>10.41.2.22/32</t>
  </si>
  <si>
    <t>BJB</t>
  </si>
  <si>
    <t>China North</t>
  </si>
  <si>
    <t>2795b19b-5ebd-47ce-8812-3329a47d13ad</t>
  </si>
  <si>
    <t>10.41.194.22/32</t>
  </si>
  <si>
    <t>SHA</t>
  </si>
  <si>
    <t>China East</t>
  </si>
  <si>
    <t>5c47b26a-a826-4990-9e70-26e82112eca1</t>
  </si>
  <si>
    <t>10.40.0.0/17</t>
  </si>
  <si>
    <t>Gallacake BE BJB</t>
  </si>
  <si>
    <t>65354866-087f-447a-8b58-57fd759a574d</t>
  </si>
  <si>
    <t>10.1.0.0/18</t>
  </si>
  <si>
    <t>BE for PF in MC</t>
  </si>
  <si>
    <t>204a779c-9d35-4d49-a604-d1edbfdf4eb8</t>
  </si>
  <si>
    <t>e9948799-ce24-410d-90ec-f50e7584454d</t>
  </si>
  <si>
    <t>ULA Space for Isolated environments</t>
  </si>
  <si>
    <t>73fee98c-ebf5-4b00-9afb-061c622ca6e8</t>
  </si>
  <si>
    <t>nam11</t>
  </si>
  <si>
    <t>10.13.0.0/16</t>
  </si>
  <si>
    <t>BE unique</t>
  </si>
  <si>
    <t>39f1ce28-8d5b-4fe3-ab81-017ef87221a9</t>
  </si>
  <si>
    <t>EX</t>
  </si>
  <si>
    <t>3657fc86-5d39-4d09-ab4d-6a21b2925255</t>
  </si>
  <si>
    <t>RFC1918 Address Space</t>
  </si>
  <si>
    <t>4d55fabc-dd9c-48b6-aa37-ae6e51d0c7e7</t>
  </si>
  <si>
    <t>10.1.0.0/16</t>
  </si>
  <si>
    <t>LX BE Block: RFC1918</t>
  </si>
  <si>
    <t>3781d69d-0ca1-4223-aea6-845d0b4f768a</t>
  </si>
  <si>
    <t>10.10.0.0/21</t>
  </si>
  <si>
    <t>M1 - M3 P2P V4</t>
  </si>
  <si>
    <t>3afca7e3-afce-47ac-bc0b-d1f342e28256</t>
  </si>
  <si>
    <t>USNat East</t>
  </si>
  <si>
    <t>e46b5994-5622-4ffc-9669-150c62c87693</t>
  </si>
  <si>
    <t>c5d309e5-dbf5-4585-9cf6-1156f6beef86</t>
  </si>
  <si>
    <t>na</t>
  </si>
  <si>
    <t>by2</t>
  </si>
  <si>
    <t>10.1.238.4</t>
  </si>
  <si>
    <t>10.1.224.0/20</t>
  </si>
  <si>
    <t>SOC PAWS LAN</t>
  </si>
  <si>
    <t>65346f6d-fa7d-4e1f-86c9-8e78198f5658</t>
  </si>
  <si>
    <t>10.10.0.0/17</t>
  </si>
  <si>
    <t>T2/RS - RH P2P V4</t>
  </si>
  <si>
    <t>71f81f0d-6300-4366-9e4c-96b9e35f7ca8</t>
  </si>
  <si>
    <t>10.12.0.0/16</t>
  </si>
  <si>
    <t>LX BE Block</t>
  </si>
  <si>
    <t>57e70ebf-8047-4fc7-9fe4-6ed3f305264e</t>
  </si>
  <si>
    <t>fe9c9b25-2941-41db-9e1f-0a0e288fc51e</t>
  </si>
  <si>
    <t>43def112-fa1b-4db6-8730-a1fe9e11f2f5</t>
  </si>
  <si>
    <t>10.1.64.0/18</t>
  </si>
  <si>
    <t>MNZ21</t>
  </si>
  <si>
    <t>USSec East</t>
  </si>
  <si>
    <t>MNZ21: BE &amp; ILO: USNat East</t>
  </si>
  <si>
    <t>539dda6f-a466-47c2-bb15-9f81d3666ef7</t>
  </si>
  <si>
    <t>10.10.0.0/16</t>
  </si>
  <si>
    <t>P2P Reuse</t>
  </si>
  <si>
    <t>f7f2cbe7-8e2a-41b7-8ea6-1cee5a592eb1</t>
  </si>
  <si>
    <t>d0636528-728a-467f-9010-ba449f1bb92e</t>
  </si>
  <si>
    <t>f73f92d9-a42b-434f-ba36-744c3493096c</t>
  </si>
  <si>
    <t>SOC PAW LAN</t>
  </si>
  <si>
    <t>52c29877-43e9-4af6-828b-959849eb9687</t>
  </si>
  <si>
    <t>USSec West</t>
  </si>
  <si>
    <t>USSec only</t>
  </si>
  <si>
    <t>9887e15b-0405-4960-b163-9575bc0186af</t>
  </si>
  <si>
    <t>LX-S Block:Unique to LX-S only</t>
  </si>
  <si>
    <t>3153aa3e-22fb-4620-ab20-7d0eb8bfb0ba</t>
  </si>
  <si>
    <t>fd57:efb3::/32</t>
  </si>
  <si>
    <t>ULA space for isolated environment</t>
  </si>
  <si>
    <t>9ff5c00a-52a0-4192-8756-e391f9de226d</t>
  </si>
  <si>
    <t>8a20f5ad-592f-41aa-93e1-0dbf95005799</t>
  </si>
  <si>
    <t>2001:489a:203:51::</t>
  </si>
  <si>
    <t>2001:489a:203::/48</t>
  </si>
  <si>
    <t>EOP: ITAR - MFPROD - Block - v6_Private Block - GovCloud Allocation</t>
  </si>
  <si>
    <t>3ac5f58a-5935-442d-920b-babb95090158</t>
  </si>
  <si>
    <t>gtm-syncgroup02</t>
  </si>
  <si>
    <t>am3</t>
  </si>
  <si>
    <t>10.40.136.16</t>
  </si>
  <si>
    <t>10.40.136.0/22</t>
  </si>
  <si>
    <t>DM2: MPGSC PCI environment - Datacenter implies AvailabilityZone (uscentral-AZ01)</t>
  </si>
  <si>
    <t>913ec043-064a-49e8-9b40-d960e5311df0</t>
  </si>
  <si>
    <t>10.41.194.23</t>
  </si>
  <si>
    <t>10.41.194.23/32</t>
  </si>
  <si>
    <t>9031e74b-b5f1-48d6-b15e-8616c00db2d7</t>
  </si>
  <si>
    <t>10.41.2.23</t>
  </si>
  <si>
    <t>10.41.2.23/32</t>
  </si>
  <si>
    <t>9b7c7fda-d79e-4fb8-931f-1b8ac3f19903</t>
  </si>
  <si>
    <t>10.40.136.0/24</t>
  </si>
  <si>
    <t>BPOSO ILO VLAN 401</t>
  </si>
  <si>
    <t>c5a847c9-3581-4950-8d3f-6e7ebf61a3f8</t>
  </si>
  <si>
    <t>25.152.252.5</t>
  </si>
  <si>
    <t>25.152.252.0/23</t>
  </si>
  <si>
    <t>EOP: APC-PU1APC01 - IPv4_CAP - IPV4_CAP</t>
  </si>
  <si>
    <t>2e0ea61f-f354-421f-9cf7-64d17b81b5d1</t>
  </si>
  <si>
    <t>5c420a23-deb4-4379-9326-516c5178a6be</t>
  </si>
  <si>
    <t>10.41.220.36</t>
  </si>
  <si>
    <t>10.41.192.0/18</t>
  </si>
  <si>
    <t>GIL: Shared Services GIL</t>
  </si>
  <si>
    <t>311897bc-cac8-40f0-ace2-204dc8a8669c</t>
  </si>
  <si>
    <t>10.41.28.36</t>
  </si>
  <si>
    <t>10.41.28.0/22</t>
  </si>
  <si>
    <t>PNQ01</t>
  </si>
  <si>
    <t>Central India</t>
  </si>
  <si>
    <t>HyperNet: Central India</t>
  </si>
  <si>
    <t>fb7f43f1-7149-43af-99ca-23ceab691bd2</t>
  </si>
  <si>
    <t>8fbac71c-c315-4d2d-a3d3-c595b0f6770e</t>
  </si>
  <si>
    <t>e6966de0-35d6-4e28-8705-a89615bdce0f</t>
  </si>
  <si>
    <t>sn4</t>
  </si>
  <si>
    <t>10.40.200.16</t>
  </si>
  <si>
    <t>10.40.200.0/21</t>
  </si>
  <si>
    <t>North Central US</t>
  </si>
  <si>
    <t>HyperNet:  CH</t>
  </si>
  <si>
    <t>b25cddb5-0ee1-4a8d-820b-ac753120440a</t>
  </si>
  <si>
    <t>b6c4dbc1-0448-4572-8db2-d5074df064cf</t>
  </si>
  <si>
    <t>42c1b207-ad17-4d30-b6e5-6743cbe3e772</t>
  </si>
  <si>
    <t>6d299db3-4ebb-4305-93db-a3917a7807df</t>
  </si>
  <si>
    <t>sna04</t>
  </si>
  <si>
    <t>dm3</t>
  </si>
  <si>
    <t>sn1</t>
  </si>
  <si>
    <t>db5</t>
  </si>
  <si>
    <t>99280ffe-6028-4def-ad5a-752c827d7d30</t>
  </si>
  <si>
    <t>usg01</t>
  </si>
  <si>
    <t>d4db3daf-8e98-4ca5-908e-53f0e80a3e4c</t>
  </si>
  <si>
    <t>usg02</t>
  </si>
  <si>
    <t>bn3</t>
  </si>
  <si>
    <t>308276c3-09c5-4dc0-a7b2-d8b2280be965</t>
  </si>
  <si>
    <t>10.13.0.0/18</t>
  </si>
  <si>
    <t>Galacake: Shared Services GIL</t>
  </si>
  <si>
    <t>c695d305-5ee0-4f8e-9206-21e7e23cae15</t>
  </si>
  <si>
    <t>eur06</t>
  </si>
  <si>
    <t>vi1</t>
  </si>
  <si>
    <t>10.13.6.0</t>
  </si>
  <si>
    <t>10.13.0.0/20</t>
  </si>
  <si>
    <t>GIL space for CPS&amp;AZDNS etc for BJS20</t>
  </si>
  <si>
    <t>c82fdda6-7e1f-4c58-b318-726889ca28ee</t>
  </si>
  <si>
    <t>10.40.128.0/17</t>
  </si>
  <si>
    <t>Gallacake BE SHA</t>
  </si>
  <si>
    <t>ab779fca-2665-4799-9b35-c4f34604ca91</t>
  </si>
  <si>
    <t>nam08</t>
  </si>
  <si>
    <t>mw2</t>
  </si>
  <si>
    <t>10.13.30.0</t>
  </si>
  <si>
    <t>10.13.16.0/20</t>
  </si>
  <si>
    <t>GIL space for CPS&amp;AZDNS etc for SHA20</t>
  </si>
  <si>
    <t>98db9c15-d950-40d3-8a68-b219df477048</t>
  </si>
  <si>
    <t>nam09</t>
  </si>
  <si>
    <t>by5</t>
  </si>
  <si>
    <t>10.13.16.0</t>
  </si>
  <si>
    <t>10.13.16.0/27</t>
  </si>
  <si>
    <t>AZDNS GIL VLAN 404 for SHA20-A76AX-CPS-1A/1B</t>
  </si>
  <si>
    <t>ae070e21-ffb0-4002-8f94-19157296e92c</t>
  </si>
  <si>
    <t>Datacenter SHA20 does not match EOP name by5</t>
  </si>
  <si>
    <t>100.64.0.0/10</t>
  </si>
  <si>
    <t>c56dad42-56e8-409f-864c-d3777376bded</t>
  </si>
  <si>
    <t>RFC6598 Address Space</t>
  </si>
  <si>
    <t>9763c996-034a-4f52-afd2-72a1a7793641</t>
  </si>
  <si>
    <t>10.12.0.0/28</t>
  </si>
  <si>
    <t>NTP</t>
  </si>
  <si>
    <t>51330bd0-1fec-4f3c-a4bb-3474fadaaa3f</t>
  </si>
  <si>
    <t>Datacenter GLOBAL does not match EOP name sh0 or mapped Azure name SHA20</t>
  </si>
  <si>
    <t>10.13.32.0/20</t>
  </si>
  <si>
    <t>PF</t>
  </si>
  <si>
    <t>907a19fe-94bb-4e04-806c-04da43f6ae47</t>
  </si>
  <si>
    <t>10.13.4.0/22</t>
  </si>
  <si>
    <t>PF SERVER POOL</t>
  </si>
  <si>
    <t>8360ad8e-62ad-4a7a-a315-2a2287e03c31</t>
  </si>
  <si>
    <t>10.1.14.18</t>
  </si>
  <si>
    <t>10.1.12.0/22</t>
  </si>
  <si>
    <t>P2P Uber block</t>
  </si>
  <si>
    <t>6406ed25-1edd-4465-9805-48fdbe8c6ffe</t>
  </si>
  <si>
    <t>nam07</t>
  </si>
  <si>
    <t>bn1</t>
  </si>
  <si>
    <t>10.13.2.0</t>
  </si>
  <si>
    <t>10.13.16.0/26</t>
  </si>
  <si>
    <t>SN8</t>
  </si>
  <si>
    <t>CDS</t>
  </si>
  <si>
    <t>9ede0733-e275-4010-9f6c-373f8e9094d6</t>
  </si>
  <si>
    <t>Datacenter SN8 does not match EOP name by5</t>
  </si>
  <si>
    <t>c4c9c808-1739-45be-89f3-044737081e7e</t>
  </si>
  <si>
    <t>3c3fd45c-5506-4d0d-b89a-490457ba3f39</t>
  </si>
  <si>
    <t>sfr01</t>
  </si>
  <si>
    <t>mr2</t>
  </si>
  <si>
    <t>10.13.12.0/22</t>
  </si>
  <si>
    <t>SAT01N:PF SERVER POOL</t>
  </si>
  <si>
    <t>8a165f24-88ec-5faf-a907-f9b25af60e1e</t>
  </si>
  <si>
    <t>sg2</t>
  </si>
  <si>
    <t>10.13.8.0/22</t>
  </si>
  <si>
    <t>9cf42526-2301-5e05-90ce-8c03133bfab0</t>
  </si>
  <si>
    <t>2406:e500::/32</t>
  </si>
  <si>
    <t>Gallacake IPv6 Address Block</t>
  </si>
  <si>
    <t>d0ac1fd6-0058-4402-a123-87d68bb6d09d</t>
  </si>
  <si>
    <t>7425018a-d96e-4f39-8673-e4176b08fc77</t>
  </si>
  <si>
    <t>3f0af07c-e1f6-4031-bb0d-c1a27f8956e0</t>
  </si>
  <si>
    <t>157.56.210.48</t>
  </si>
  <si>
    <t>157.56.210.48/29</t>
  </si>
  <si>
    <t>EOP: APC-PU1SAP01 - IPv4_Anchor - IPv4_Anchor</t>
  </si>
  <si>
    <t>d607fa02-d031-44d1-ba51-b28fb8d7c35b</t>
  </si>
  <si>
    <t>EOP: SAP01-PS1 - IPv6_Anchor - SONARv6</t>
  </si>
  <si>
    <t>13f36b0d-544d-4951-8ca9-815a760635ac</t>
  </si>
  <si>
    <t>e7672b71-e112-4a3b-a6ad-020beab432be</t>
  </si>
  <si>
    <t>EOP: SON02-DB5Unknown - IPv4_CAP - IPv4_Unknown</t>
  </si>
  <si>
    <t>0209d7de-ff2c-497e-ae70-9422c6fc9c95</t>
  </si>
  <si>
    <t>SHA02</t>
  </si>
  <si>
    <t>10.41.67.0/24</t>
  </si>
  <si>
    <t>Title does not contain forest name (gallatin)</t>
  </si>
  <si>
    <t>BJB:PID#381785:BE/ILO</t>
  </si>
  <si>
    <t>f3b6b6c9-cf44-44d9-a4bc-d725244c5395</t>
  </si>
  <si>
    <t>42.159.0.0/16</t>
  </si>
  <si>
    <t>Gallatin/Mooncake Public Block (21V)</t>
  </si>
  <si>
    <t>9f8dbdfc-987a-498e-9fec-6ccd07e05024</t>
  </si>
  <si>
    <t>139.219.0.0/16</t>
  </si>
  <si>
    <t>MSFT Public IP Address Block</t>
  </si>
  <si>
    <t>95132428-7c00-4b24-917f-b619079ee9a3</t>
  </si>
  <si>
    <t>eur05</t>
  </si>
  <si>
    <t>nam04</t>
  </si>
  <si>
    <t>043b3d02-1b6d-42fc-afd5-62c95bc34242</t>
  </si>
  <si>
    <t>gtm-syncgroup01</t>
  </si>
  <si>
    <t>2c5869e7-35b7-4353-b087-ffe0bf2099aa</t>
  </si>
  <si>
    <t>he1</t>
  </si>
  <si>
    <t>2a01:111:e401:84::</t>
  </si>
  <si>
    <t>2a01:111:e401:84::/64</t>
  </si>
  <si>
    <t>EOP: SAP01-PS1 - IPv6_SonRest - IPV6_SONREST</t>
  </si>
  <si>
    <t>80766a44-e2b8-4880-ac1a-c5ea7be7ddbc</t>
  </si>
  <si>
    <t>pr2</t>
  </si>
  <si>
    <t>139.219.17.0</t>
  </si>
  <si>
    <t>139.219.17.0/24</t>
  </si>
  <si>
    <t>EOP: CN-BJSCHN02 - IPv4_1101/1102 - IPV4_HRI</t>
  </si>
  <si>
    <t>e11e583c-48f6-40c9-a48c-9378d70b75ff</t>
  </si>
  <si>
    <t>fa3fd991-c54c-4387-a75b-b6e4a8c4afec</t>
  </si>
  <si>
    <t>7dd768b9-57bf-425f-bed2-afde6bf97020</t>
  </si>
  <si>
    <t>dd7ba869-6bd1-44e1-b45b-e56eadd73958</t>
  </si>
  <si>
    <t>bl2</t>
  </si>
  <si>
    <t>EOP: SAP01-PU1 - IPv4_Sonar - IPv4_Sonar</t>
  </si>
  <si>
    <t>666c0b30-6ab8-485c-bf97-c071b8f9287e</t>
  </si>
  <si>
    <t>4521c1c8-333b-4d7f-b77d-7697a55d6ff9</t>
  </si>
  <si>
    <t>40.94.227.0</t>
  </si>
  <si>
    <t>40.94.227.0/25</t>
  </si>
  <si>
    <t>84fab931-7269-49cd-8ffc-93c0755c315c</t>
  </si>
  <si>
    <t>sit01</t>
  </si>
  <si>
    <t>ph2</t>
  </si>
  <si>
    <t>acf38181-c955-45a6-a102-eabec568bd7c</t>
  </si>
  <si>
    <t>10.41.85.0</t>
  </si>
  <si>
    <t>10.41.85.0/24</t>
  </si>
  <si>
    <t>BJB EOP reserved</t>
  </si>
  <si>
    <t>bf97066f-bf0a-4a1e-97d5-ae52de1ec033</t>
  </si>
  <si>
    <t>10.10.32.0</t>
  </si>
  <si>
    <t>10.10.32.0/21</t>
  </si>
  <si>
    <t>M0 - M1 (MDF) P2P V4</t>
  </si>
  <si>
    <t>89a08501-21ec-4dc5-a93b-5e4a600c882f</t>
  </si>
  <si>
    <t>25.154.126.0</t>
  </si>
  <si>
    <t>25.154.126.0/24</t>
  </si>
  <si>
    <t>EOP: APC-PU1APC01 - IPv4_CAP - IPV4_A_MGMT</t>
  </si>
  <si>
    <t>ce5a1ac3-e511-42d8-a5af-bec34e1adfa1</t>
  </si>
  <si>
    <t>1c504ac8-afa2-4d5b-a100-2fabbf976ef2</t>
  </si>
  <si>
    <t>c789d49a-ce71-4d33-8a29-1368bafa6c6a</t>
  </si>
  <si>
    <t>9aa2fc3e-1414-4d92-9be6-84a3644407c0</t>
  </si>
  <si>
    <t>cf172725-dac6-4456-82b5-9cdeb6ab1761</t>
  </si>
  <si>
    <t>a0314820-7a07-4011-93e8-4a73b80a90a5</t>
  </si>
  <si>
    <t>14aaca58-dc9c-4309-a1fa-e4be3fd0c242</t>
  </si>
  <si>
    <t>nam05</t>
  </si>
  <si>
    <t>dd498fc7-18a4-4717-8461-c90419458a03</t>
  </si>
  <si>
    <t>85aa9f21-71ee-4a2f-929e-a3d255a1076f</t>
  </si>
  <si>
    <t>10.41.87.0</t>
  </si>
  <si>
    <t>10.41.87.0/24</t>
  </si>
  <si>
    <t>5f09fec1-32dd-4305-bcf6-d33dfe3ab434</t>
  </si>
  <si>
    <t>65.55.88.0</t>
  </si>
  <si>
    <t>65.55.88.0/27</t>
  </si>
  <si>
    <t>EOP: APC-PU1APC01 - IPv4_Anchor - IPV4_PUBOB</t>
  </si>
  <si>
    <t>7c506237-3cc9-4229-9872-7c403834786a</t>
  </si>
  <si>
    <t>28f4bfdd-b811-4ad2-beec-c1ab86b4a715</t>
  </si>
  <si>
    <t>1a6fb642-7cab-4a95-8bde-c06921c4905d</t>
  </si>
  <si>
    <t>4d447832-9075-4074-99f2-3c302964fffb</t>
  </si>
  <si>
    <t>de7143df-a72f-4e0c-a990-6a29cd890126</t>
  </si>
  <si>
    <t>ddb106ee-5280-4bb2-813b-cb5af8f6f122</t>
  </si>
  <si>
    <t>3a3bd9ec-d620-4a7a-bc6c-cefc92075e1c</t>
  </si>
  <si>
    <t>2a01:111:f400:feab::</t>
  </si>
  <si>
    <t>2a01:111:f400:feab::/64</t>
  </si>
  <si>
    <t>Datacenter GLOBAL does not match EOP name sga or mapped Azure name SG2</t>
  </si>
  <si>
    <t>EOP: APC-SG2APC03 - IPv6_Anchor - v6_HRI</t>
  </si>
  <si>
    <t>85f40809-aabe-49e8-b087-f3d67eb01c6e</t>
  </si>
  <si>
    <t>2a01:111:f400:feae::</t>
  </si>
  <si>
    <t>2a01:111:f400:feae::/64</t>
  </si>
  <si>
    <t>Datacenter GLOBAL does not match EOP name ps2 or mapped Azure name PUS20</t>
  </si>
  <si>
    <t>EOP: APC-PU2APC03 - IPv6_Anchor - v6_HRI</t>
  </si>
  <si>
    <t>6742a376-f66d-4ee0-ae81-df9122361959</t>
  </si>
  <si>
    <t>104.47.126.0</t>
  </si>
  <si>
    <t>104.47.126.0/24</t>
  </si>
  <si>
    <t>EOP: APC-PU1APC01 - IPv4_1701 - IPV4_HRI</t>
  </si>
  <si>
    <t>0f3c4291-134e-4280-8a6c-4752a96a8924</t>
  </si>
  <si>
    <t>db8</t>
  </si>
  <si>
    <t>deu01</t>
  </si>
  <si>
    <t>be0</t>
  </si>
  <si>
    <t>11f21983-4aed-4727-9834-2a0e09f3c1b3</t>
  </si>
  <si>
    <t>308024d6-6439-4df7-ab85-d15e87c06da3</t>
  </si>
  <si>
    <t>dddbf0d5-76b6-49df-9663-2220e8cf186f</t>
  </si>
  <si>
    <t>2a01:111:e400:7fbe::</t>
  </si>
  <si>
    <t>2a01:111:e400:7fbe::/64</t>
  </si>
  <si>
    <t>EOP: APC-PU1APC01 - IPv6_CAP - IPV6_A_MGMT</t>
  </si>
  <si>
    <t>b5e3a9d5-cc69-4c8b-81c5-794906e15eee</t>
  </si>
  <si>
    <t>fra01</t>
  </si>
  <si>
    <t>c24b857d-ddd6-41e8-a6a1-bce406e2cfc0</t>
  </si>
  <si>
    <t>5415f2ab-f2aa-47e6-bc44-6d620ba71561</t>
  </si>
  <si>
    <t>2a01:111:f400:febe::</t>
  </si>
  <si>
    <t>2a01:111:f400:febe::/64</t>
  </si>
  <si>
    <t>EOP: APC-PU1APC01 - IPv6_Anchor - IPV6_HRI</t>
  </si>
  <si>
    <t>9d21e869-0af0-4b59-ab2d-7d4fff2d1c67</t>
  </si>
  <si>
    <t>jpn01</t>
  </si>
  <si>
    <t>os2</t>
  </si>
  <si>
    <t>fda6a9fb-299a-4673-bdbe-4b2c3370ca6c</t>
  </si>
  <si>
    <t>5b231b33-370c-44dd-9f9b-7f017d90697c</t>
  </si>
  <si>
    <t>EOP: SON01-CO1Unknown - IPv6_Anchor - TBD</t>
  </si>
  <si>
    <t>95cbbd83-826a-4ce1-a78a-b43ee973e188</t>
  </si>
  <si>
    <t>2a01:111:e400:7ebe::</t>
  </si>
  <si>
    <t>2a01:111:e400:7ebe::/64</t>
  </si>
  <si>
    <t>EOP: APC-PU1APC01 - IPv6_CAP - IPV6_CAP</t>
  </si>
  <si>
    <t>18239f3c-dd0e-467a-92f5-cce5cf2b4694</t>
  </si>
  <si>
    <t>ea1394e6-ddfd-405f-ab44-640d4f482292</t>
  </si>
  <si>
    <t>sit02</t>
  </si>
  <si>
    <t>172.16.0.0/12</t>
  </si>
  <si>
    <t>Reuse range by storage</t>
  </si>
  <si>
    <t>60bf7989-de0e-4f36-8f69-3277b2b3b1dc</t>
  </si>
  <si>
    <t>740d38bd-17a2-4344-a690-b806312b63d8</t>
  </si>
  <si>
    <t>19b0f6cb-9824-4c75-8118-8954b2c241b0</t>
  </si>
  <si>
    <t>2a01:111:f400:7ebd::</t>
  </si>
  <si>
    <t>2a01:111:f400:7ebd::/64</t>
  </si>
  <si>
    <t>EOP: APC-PU1APC01 - IPv6_Anchor - IPV6_PUBOB</t>
  </si>
  <si>
    <t>367f4ad2-3ccc-4bfc-b586-032e12df7ae7</t>
  </si>
  <si>
    <t>1716508b-91f7-46a7-9449-0b150e07376f</t>
  </si>
  <si>
    <t>Datacenter BL2 does not match EOP name sn2</t>
  </si>
  <si>
    <t>729a9064-d057-47c1-a7e3-892de5d9df6f</t>
  </si>
  <si>
    <t>40.92.254.0</t>
  </si>
  <si>
    <t>40.92.254.0/24</t>
  </si>
  <si>
    <t>EOP: APC-PU1APC01 - IPv4_1901 - IPv4_1901</t>
  </si>
  <si>
    <t>f4e6a0ee-626f-4db5-907f-884008daaf81</t>
  </si>
  <si>
    <t>da0b7d64-24d3-492a-8d94-97a95b192d54</t>
  </si>
  <si>
    <t>d15a725a-804f-4774-acd7-ea23aa4e496e</t>
  </si>
  <si>
    <t>8afed732-b81e-4ff0-b0ff-13585302cbce</t>
  </si>
  <si>
    <t>Datacenter BN1-FX does not match EOP name bn3</t>
  </si>
  <si>
    <t>891baebb-5de0-45e7-8a18-11f2ed58dbe6</t>
  </si>
  <si>
    <t>20.128.56.1011</t>
  </si>
  <si>
    <t>NoMatch</t>
  </si>
  <si>
    <t>20.128.56.1012</t>
  </si>
  <si>
    <t>40.93.254.0</t>
  </si>
  <si>
    <t>40.93.254.0/24</t>
  </si>
  <si>
    <t>EOP: APC-PU1APC01 - IPv4_2501 - IPv4_2501</t>
  </si>
  <si>
    <t>e0f048cb-92e6-4610-bc6e-ec0cd0d50527</t>
  </si>
  <si>
    <t>9d057919-c27b-4ac7-9772-64a4ace5c63a</t>
  </si>
  <si>
    <t>nam02</t>
  </si>
  <si>
    <t>f95644a1-e187-448d-9aa5-b37b7e8cc7de</t>
  </si>
  <si>
    <t>52.103.129.0</t>
  </si>
  <si>
    <t>52.103.129.0/24</t>
  </si>
  <si>
    <t>EOP: APC-PU1APC01 - IPv4_1301 - IPv4_1301</t>
  </si>
  <si>
    <t>cb63052b-1eea-41c0-a428-1581ba680faf</t>
  </si>
  <si>
    <t>ve1</t>
  </si>
  <si>
    <t>02b823f3-bd43-4cda-a256-006222b03411</t>
  </si>
  <si>
    <t>eur02</t>
  </si>
  <si>
    <t>6cd36dfb-d36b-4440-a2d5-dcdc6e8da739</t>
  </si>
  <si>
    <t>755fb71a-6829-4d48-80e3-cbfab783d10a</t>
  </si>
  <si>
    <t>ee21ce94-b13f-4d82-8562-0263e6ff5746</t>
  </si>
  <si>
    <t>3781c1a4-2227-4c82-a2e7-65c877659c87</t>
  </si>
  <si>
    <t>52.103.193.0</t>
  </si>
  <si>
    <t>52.103.193.0/24</t>
  </si>
  <si>
    <t>EOP: APC-PU1APC01 - IPv4_1501 - IPv4_1501</t>
  </si>
  <si>
    <t>c67d0562-878a-4e35-abfe-f2092ebeb435</t>
  </si>
  <si>
    <t>Datacenter SG2 does not match EOP name hk1</t>
  </si>
  <si>
    <t>3f0fab63-36a8-4305-be82-b9f87eb27044</t>
  </si>
  <si>
    <t>1923f4ac-1fcc-4f89-96a2-7c33173f2f5e</t>
  </si>
  <si>
    <t>f6840d0c-22b3-405d-8fc5-d147313b1df2</t>
  </si>
  <si>
    <t>40.95.254.0</t>
  </si>
  <si>
    <t>40.95.254.0/24</t>
  </si>
  <si>
    <t>EOP: APC-PU1APC01 - IPv4_1022/1023 - IPv4_1022/1023</t>
  </si>
  <si>
    <t>55e50bd6-86a0-4765-8de5-6620215897d7</t>
  </si>
  <si>
    <t>Datacenter GLOBAL does not match EOP name hk1</t>
  </si>
  <si>
    <t>910e191f-1c18-4b3f-bcdd-7608deb66cf7</t>
  </si>
  <si>
    <t>893cd16d-ad07-4abe-b737-4bdc673b353f</t>
  </si>
  <si>
    <t>3d720299-c358-4db5-9756-65d4ee3ba1fb</t>
  </si>
  <si>
    <t>me1</t>
  </si>
  <si>
    <t>c5b2ccc4-4c31-416e-873a-749eb32c0c80</t>
  </si>
  <si>
    <t>ty1</t>
  </si>
  <si>
    <t>504e5a44-30e3-4f9c-9d42-1149fdf31dfb</t>
  </si>
  <si>
    <t>ffaebcb7-a66f-425d-83d6-0022b0bc45a0</t>
  </si>
  <si>
    <t>dd242468-8072-4017-9ef7-7613e43bb03b</t>
  </si>
  <si>
    <t>dm2</t>
  </si>
  <si>
    <t>e8dc1b2e-fc8a-4da0-8dfe-bc1333ed1463</t>
  </si>
  <si>
    <t>30476cc2-7d1e-4824-8487-f938ad3d42b7</t>
  </si>
  <si>
    <t>490463c0-bcaf-42b0-876c-10477634e938</t>
  </si>
  <si>
    <t>qb1</t>
  </si>
  <si>
    <t>4153d5a0-cf59-447b-884a-d8934dc17f66</t>
  </si>
  <si>
    <t>d510ceaf-a764-4459-a951-81e227d11587</t>
  </si>
  <si>
    <t>0cacda95-459c-4e3b-992a-ce1535540430</t>
  </si>
  <si>
    <t>7b981303-9aff-42c7-bfc2-7aef0618f6dc</t>
  </si>
  <si>
    <t>e91e53d5-cdf5-4ceb-aed7-c9c12f855cf9</t>
  </si>
  <si>
    <t>10.1.15.121</t>
  </si>
  <si>
    <t>10.1.15.0/24</t>
  </si>
  <si>
    <t>NTWK</t>
  </si>
  <si>
    <t>b6d230f7-897a-46f7-b5a0-c35c30f62606</t>
  </si>
  <si>
    <t>Datacenter PHX20-FX does not match EOP name dm2</t>
  </si>
  <si>
    <t>2d4d5b09-904c-4d1e-91ce-b47133310a3d</t>
  </si>
  <si>
    <t>02a40e5f-7513-4ccf-9ccd-e421cbf90fe3</t>
  </si>
  <si>
    <t>Region does not match implied region (&lt;none&gt;)</t>
  </si>
  <si>
    <t>Title does not contain datacenter name SN4</t>
  </si>
  <si>
    <t>sgp01</t>
  </si>
  <si>
    <t>10.13.8.5</t>
  </si>
  <si>
    <t>sva</t>
  </si>
  <si>
    <t>100.127.139.0</t>
  </si>
  <si>
    <t>apc01-pu1</t>
  </si>
  <si>
    <t>chn02-bjs</t>
  </si>
  <si>
    <t>gls09-sn8</t>
  </si>
  <si>
    <t>gls10-gz0</t>
  </si>
  <si>
    <t>gtm-fsdf-sn2</t>
  </si>
  <si>
    <t>gls10-rz0</t>
  </si>
  <si>
    <t>apc01-ps2</t>
  </si>
  <si>
    <t>eur06-vi1</t>
  </si>
  <si>
    <t>nor01-sva</t>
  </si>
  <si>
    <t>sgp01-sg2</t>
  </si>
  <si>
    <t>apc01-sga</t>
  </si>
  <si>
    <t>10.13.4.0</t>
  </si>
  <si>
    <t>10.13.4.0/24</t>
  </si>
  <si>
    <t>SAT01N</t>
  </si>
  <si>
    <t>d3413b18-7c6a-47cf-a43c-23065fa1de18</t>
  </si>
  <si>
    <t>10.13.2.0/25</t>
  </si>
  <si>
    <t>6420185d-bbec-4a4d-883a-ca7ad157171f</t>
  </si>
  <si>
    <t>eur03</t>
  </si>
  <si>
    <t>DubiousTitle</t>
  </si>
  <si>
    <t>10.13.38.0</t>
  </si>
  <si>
    <t>10.13.12.128</t>
  </si>
  <si>
    <t>2406:e500:4120:0002::</t>
  </si>
  <si>
    <t>42.159.36.39</t>
  </si>
  <si>
    <t>Title contains text 'unknown'</t>
  </si>
  <si>
    <t>10.41.146.0/24</t>
  </si>
  <si>
    <t>Title does not contain datacenter name SHA02 or EOP name sha or mapped Azure name SHA20</t>
  </si>
  <si>
    <t>EOP reserved</t>
  </si>
  <si>
    <t>ad64f1af-d161-4be7-9863-fa7eb46c30eb</t>
  </si>
  <si>
    <t>10.41.148.0/24</t>
  </si>
  <si>
    <t>e177267d-99d9-4b35-9c55-d22bd00072b0</t>
  </si>
  <si>
    <t>bn8</t>
  </si>
  <si>
    <t>10.13.176.5</t>
  </si>
  <si>
    <t>Datacenter SHA does not match EOP name mnz or mapped Azure name MNZ21</t>
  </si>
  <si>
    <t>260c:162:0:5881::</t>
  </si>
  <si>
    <t>260f:d200:3:5080::</t>
  </si>
  <si>
    <t>eur02-ve1</t>
  </si>
  <si>
    <t>7.29.81.0</t>
  </si>
  <si>
    <t>apc01-hka</t>
  </si>
  <si>
    <t>hka</t>
  </si>
  <si>
    <t>20.128.57.148</t>
  </si>
  <si>
    <t>func-sn2</t>
  </si>
  <si>
    <t>10.10.1.2</t>
  </si>
  <si>
    <t>fd57:efb3:2500:0004::</t>
  </si>
  <si>
    <t>139.219.16.0</t>
  </si>
  <si>
    <t>172.16.1.0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</si>
</sst>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9252141-E9E1-471E-B85E-EB9C30255DC1}" autoFormatId="16" applyNumberFormats="0" applyBorderFormats="0" applyFontFormats="0" applyPatternFormats="0" applyAlignmentFormats="0" applyWidthHeightFormats="0">
  <queryTableRefresh nextId="15">
    <queryTableFields count="14">
      <queryTableField id="1" name="Address Space" tableColumnId="1"/>
      <queryTableField id="14" dataBound="0" tableColumnId="14"/>
      <queryTableField id="2" name="Comment" tableColumnId="2"/>
      <queryTableField id="3" name="Environment" tableColumnId="3"/>
      <queryTableField id="4" name="Forest" tableColumnId="4"/>
      <queryTableField id="5" name="EOP DC" tableColumnId="5"/>
      <queryTableField id="6" name="IP Query" tableColumnId="6"/>
      <queryTableField id="7" name="Prefix" tableColumnId="7"/>
      <queryTableField id="8" name="IPAM DC" tableColumnId="8"/>
      <queryTableField id="9" name="Region" tableColumnId="9"/>
      <queryTableField id="10" name="Status" tableColumnId="10"/>
      <queryTableField id="11" name="Summary" tableColumnId="11"/>
      <queryTableField id="12" name="Title" tableColumnId="12"/>
      <queryTableField id="13" name="Prefix 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1EC5AC-0C84-4CE2-A233-72BC68ADAFAA}" name="result" displayName="result" ref="A1:N222" tableType="queryTable" totalsRowCount="1">
  <autoFilter ref="A1:N221" xr:uid="{414D4B1F-6B7B-47DA-80EF-E66C92D54FD0}"/>
  <tableColumns count="14">
    <tableColumn id="1" xr3:uid="{959811D2-ED05-45A0-A41D-6AB63426F3F1}" uniqueName="1" name="Address Space" queryTableFieldId="1" dataDxfId="25" totalsRowDxfId="12"/>
    <tableColumn id="14" xr3:uid="{DF556968-9B57-48F7-9D4A-FBE85E3267BC}" uniqueName="14" name="_ID_" queryTableFieldId="14" dataDxfId="24" totalsRowDxfId="11">
      <calculatedColumnFormula>A2&amp;D2&amp;G2&amp;K2</calculatedColumnFormula>
    </tableColumn>
    <tableColumn id="2" xr3:uid="{A48B7B22-D4CB-4702-9D29-36B2D82E2608}" uniqueName="2" name="Comment" totalsRowFunction="custom" queryTableFieldId="2">
      <totalsRowFormula>VLOOKUP($B222, comment!$B$2:$C$401, 2, FALSE)</totalsRowFormula>
    </tableColumn>
    <tableColumn id="3" xr3:uid="{C72702C7-41E0-4A4A-8447-897ABDAA2D2A}" uniqueName="3" name="Environment" queryTableFieldId="3" dataDxfId="23" totalsRowDxfId="10"/>
    <tableColumn id="4" xr3:uid="{A660AB6E-A2AA-4A44-B38A-04959B29409A}" uniqueName="4" name="Forest" queryTableFieldId="4" dataDxfId="22" totalsRowDxfId="9"/>
    <tableColumn id="5" xr3:uid="{6F38A945-6C07-4FE7-AE86-A4A2EDA17A3E}" uniqueName="5" name="EOP DC" queryTableFieldId="5" dataDxfId="21" totalsRowDxfId="8"/>
    <tableColumn id="6" xr3:uid="{F4A45DCC-B714-4F32-ACA4-579BC303F373}" uniqueName="6" name="IP Query" queryTableFieldId="6" dataDxfId="20" totalsRowDxfId="7"/>
    <tableColumn id="7" xr3:uid="{7D2D3178-73B2-4512-9AC1-AC9BAA11967B}" uniqueName="7" name="Prefix" queryTableFieldId="7" dataDxfId="19" totalsRowDxfId="6"/>
    <tableColumn id="8" xr3:uid="{AFF29DEF-0CF0-4D2D-BF6F-191FD0DEDA84}" uniqueName="8" name="IPAM DC" queryTableFieldId="8" dataDxfId="18" totalsRowDxfId="5"/>
    <tableColumn id="9" xr3:uid="{1CD0A28E-8DF5-489A-A81A-57C071D350A4}" uniqueName="9" name="Region" queryTableFieldId="9" dataDxfId="17" totalsRowDxfId="4"/>
    <tableColumn id="10" xr3:uid="{3619AFB7-63FB-49C9-B091-0C49048A05AB}" uniqueName="10" name="Status" queryTableFieldId="10" dataDxfId="16" totalsRowDxfId="3"/>
    <tableColumn id="11" xr3:uid="{6B02A818-AEF2-44D3-B7FF-C3765FB28764}" uniqueName="11" name="Summary" queryTableFieldId="11" dataDxfId="15" totalsRowDxfId="2"/>
    <tableColumn id="12" xr3:uid="{56C1A0AD-A9A7-4BAE-AC15-D300B6AB5A04}" uniqueName="12" name="Title" queryTableFieldId="12" dataDxfId="14" totalsRowDxfId="1"/>
    <tableColumn id="13" xr3:uid="{9A07B841-E9F6-4E2F-9EEB-754B44CC2F67}" uniqueName="13" name="Prefix ID" queryTableFieldId="13" dataDxfId="13" totalsRow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name="Address Space" dataDxfId="36"/>
    <tableColumn id="11" xr3:uid="{BA43A98B-EA12-47B9-93CE-525CC8D440D2}" name="_ID_" dataDxfId="35">
      <calculatedColumnFormula>A2&amp;D2&amp;E2&amp;I2</calculatedColumnFormula>
    </tableColumn>
    <tableColumn id="2" xr3:uid="{81723872-25A7-4C8D-8C2B-42AD965E4CA8}" name="Comment" dataDxfId="34"/>
    <tableColumn id="3" xr3:uid="{CCD05A8F-F3E4-48F9-8442-A5CD57D011FA}" name="Envionment" dataDxfId="33"/>
    <tableColumn id="4" xr3:uid="{5855436C-9908-4775-A40A-8F4E9DFCAB44}" name="IP Query" dataDxfId="32"/>
    <tableColumn id="5" xr3:uid="{42AE5B04-3705-47C5-A9FD-002309B95409}" name="Prefix" dataDxfId="31"/>
    <tableColumn id="6" xr3:uid="{77344ADF-882E-4E9C-88C4-5238281A72A0}" name="Datacenter" dataDxfId="30"/>
    <tableColumn id="7" xr3:uid="{E9EA5574-1407-47AF-9C71-8D3E48D2D94D}" name="Region" dataDxfId="29"/>
    <tableColumn id="8" xr3:uid="{B0C123CC-0D17-45BF-A031-FE02A0ECCA40}" name="Status" dataDxfId="28"/>
    <tableColumn id="9" xr3:uid="{BF1FE173-662A-4BD5-A475-192E92867BD8}" name="Summary" dataDxfId="27"/>
    <tableColumn id="10" xr3:uid="{79A009A0-84ED-4533-98DD-19C82AB5A8E1}" name="Title" dataDxfId="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D23C8-9F7A-4147-960C-56831317C909}">
  <sheetPr codeName="Sheet1"/>
  <dimension ref="A1:N222"/>
  <sheetViews>
    <sheetView tabSelected="1" workbookViewId="0">
      <selection activeCell="B16" sqref="B16"/>
    </sheetView>
  </sheetViews>
  <sheetFormatPr defaultRowHeight="13.8" x14ac:dyDescent="0.25"/>
  <cols>
    <col min="1" max="1" width="17.5546875" bestFit="1" customWidth="1"/>
    <col min="2" max="2" width="59.21875" bestFit="1" customWidth="1"/>
    <col min="3" max="3" width="12.88671875" bestFit="1" customWidth="1"/>
    <col min="4" max="4" width="22.5546875" bestFit="1" customWidth="1"/>
    <col min="5" max="5" width="17.44140625" bestFit="1" customWidth="1"/>
    <col min="6" max="6" width="10.77734375" bestFit="1" customWidth="1"/>
    <col min="7" max="7" width="25.44140625" bestFit="1" customWidth="1"/>
    <col min="8" max="8" width="23.77734375" bestFit="1" customWidth="1"/>
    <col min="9" max="9" width="12" bestFit="1" customWidth="1"/>
    <col min="10" max="10" width="19" bestFit="1" customWidth="1"/>
    <col min="11" max="11" width="20.21875" bestFit="1" customWidth="1"/>
    <col min="12" max="13" width="80.88671875" bestFit="1" customWidth="1"/>
    <col min="14" max="14" width="41.33203125" bestFit="1" customWidth="1"/>
  </cols>
  <sheetData>
    <row r="1" spans="1:14" x14ac:dyDescent="0.25">
      <c r="A1" t="s">
        <v>0</v>
      </c>
      <c r="B1" t="s">
        <v>1411</v>
      </c>
      <c r="C1" t="s">
        <v>1</v>
      </c>
      <c r="D1" t="s">
        <v>1412</v>
      </c>
      <c r="E1" t="s">
        <v>1413</v>
      </c>
      <c r="F1" t="s">
        <v>1414</v>
      </c>
      <c r="G1" t="s">
        <v>3</v>
      </c>
      <c r="H1" t="s">
        <v>4</v>
      </c>
      <c r="I1" t="s">
        <v>1415</v>
      </c>
      <c r="J1" t="s">
        <v>6</v>
      </c>
      <c r="K1" t="s">
        <v>7</v>
      </c>
      <c r="L1" t="s">
        <v>8</v>
      </c>
      <c r="M1" t="s">
        <v>9</v>
      </c>
      <c r="N1" t="s">
        <v>1416</v>
      </c>
    </row>
    <row r="2" spans="1:14" x14ac:dyDescent="0.25">
      <c r="A2" s="1"/>
      <c r="B2" s="1" t="str">
        <f t="shared" ref="B2:B65" si="0">A2&amp;D2&amp;G2&amp;K2</f>
        <v>gallatin-bjbNoMappingDcName</v>
      </c>
      <c r="C2" t="e">
        <f>VLOOKUP($B2, comment!$B$2:$C$401, 2, FALSE)</f>
        <v>#N/A</v>
      </c>
      <c r="D2" s="1" t="s">
        <v>1360</v>
      </c>
      <c r="E2" s="1" t="s">
        <v>1417</v>
      </c>
      <c r="F2" s="1" t="s">
        <v>1418</v>
      </c>
      <c r="G2" s="1"/>
      <c r="H2" s="1"/>
      <c r="I2" s="1"/>
      <c r="J2" s="1"/>
      <c r="K2" s="1" t="s">
        <v>450</v>
      </c>
      <c r="L2" s="1" t="s">
        <v>1419</v>
      </c>
      <c r="M2" s="1"/>
      <c r="N2" s="1"/>
    </row>
    <row r="3" spans="1:14" x14ac:dyDescent="0.25">
      <c r="A3" s="1"/>
      <c r="B3" s="1" t="str">
        <f t="shared" si="0"/>
        <v>gallatin-w15-bjbNoMappingDcName</v>
      </c>
      <c r="C3" t="e">
        <f>VLOOKUP($B3, comment!$B$2:$C$401, 2, FALSE)</f>
        <v>#N/A</v>
      </c>
      <c r="D3" s="1" t="s">
        <v>1379</v>
      </c>
      <c r="E3" s="1" t="s">
        <v>1420</v>
      </c>
      <c r="F3" s="1" t="s">
        <v>1418</v>
      </c>
      <c r="G3" s="1"/>
      <c r="H3" s="1"/>
      <c r="I3" s="1"/>
      <c r="J3" s="1"/>
      <c r="K3" s="1" t="s">
        <v>450</v>
      </c>
      <c r="L3" s="1" t="s">
        <v>1419</v>
      </c>
      <c r="M3" s="1"/>
      <c r="N3" s="1"/>
    </row>
    <row r="4" spans="1:14" x14ac:dyDescent="0.25">
      <c r="A4" s="1" t="s">
        <v>10</v>
      </c>
      <c r="B4" s="1" t="str">
        <f t="shared" si="0"/>
        <v>Defaultapc01-pu125.154.254.4InvalidRegion</v>
      </c>
      <c r="C4" t="e">
        <f>VLOOKUP($B4, comment!$B$2:$C$401, 2, FALSE)</f>
        <v>#N/A</v>
      </c>
      <c r="D4" s="1" t="s">
        <v>1946</v>
      </c>
      <c r="E4" s="1" t="s">
        <v>1423</v>
      </c>
      <c r="F4" s="1" t="s">
        <v>1424</v>
      </c>
      <c r="G4" s="1" t="s">
        <v>1425</v>
      </c>
      <c r="H4" s="1" t="s">
        <v>1426</v>
      </c>
      <c r="I4" s="1" t="s">
        <v>968</v>
      </c>
      <c r="J4" s="1" t="s">
        <v>1264</v>
      </c>
      <c r="K4" s="1" t="s">
        <v>1427</v>
      </c>
      <c r="L4" s="1" t="s">
        <v>1940</v>
      </c>
      <c r="M4" s="1" t="s">
        <v>1428</v>
      </c>
      <c r="N4" s="1" t="s">
        <v>1429</v>
      </c>
    </row>
    <row r="5" spans="1:14" x14ac:dyDescent="0.25">
      <c r="A5" s="1" t="s">
        <v>10</v>
      </c>
      <c r="B5" s="1" t="str">
        <f t="shared" si="0"/>
        <v>Defaultaus01-sy325.154.245.4DubiousTitle</v>
      </c>
      <c r="C5" t="e">
        <f>VLOOKUP($B5, comment!$B$2:$C$401, 2, FALSE)</f>
        <v>#N/A</v>
      </c>
      <c r="D5" s="1" t="s">
        <v>43</v>
      </c>
      <c r="E5" s="1" t="s">
        <v>1432</v>
      </c>
      <c r="F5" s="1" t="s">
        <v>1433</v>
      </c>
      <c r="G5" s="1" t="s">
        <v>530</v>
      </c>
      <c r="H5" s="1" t="s">
        <v>531</v>
      </c>
      <c r="I5" s="1" t="s">
        <v>46</v>
      </c>
      <c r="J5" s="1" t="s">
        <v>47</v>
      </c>
      <c r="K5" s="1" t="s">
        <v>1964</v>
      </c>
      <c r="L5" s="1" t="s">
        <v>1969</v>
      </c>
      <c r="M5" s="1" t="s">
        <v>1434</v>
      </c>
      <c r="N5" s="1" t="s">
        <v>1435</v>
      </c>
    </row>
    <row r="6" spans="1:14" x14ac:dyDescent="0.25">
      <c r="A6" s="1" t="s">
        <v>10</v>
      </c>
      <c r="B6" s="1" t="str">
        <f t="shared" si="0"/>
        <v>Defaultcan01-to125.154.189.4DubiousTitle</v>
      </c>
      <c r="C6" t="e">
        <f>VLOOKUP($B6, comment!$B$2:$C$401, 2, FALSE)</f>
        <v>#N/A</v>
      </c>
      <c r="D6" s="1" t="s">
        <v>57</v>
      </c>
      <c r="E6" s="1" t="s">
        <v>1436</v>
      </c>
      <c r="F6" s="1" t="s">
        <v>1437</v>
      </c>
      <c r="G6" s="1" t="s">
        <v>58</v>
      </c>
      <c r="H6" s="1" t="s">
        <v>59</v>
      </c>
      <c r="I6" s="1" t="s">
        <v>60</v>
      </c>
      <c r="J6" s="1" t="s">
        <v>61</v>
      </c>
      <c r="K6" s="1" t="s">
        <v>1964</v>
      </c>
      <c r="L6" s="1" t="s">
        <v>1969</v>
      </c>
      <c r="M6" s="1" t="s">
        <v>1438</v>
      </c>
      <c r="N6" s="1" t="s">
        <v>1439</v>
      </c>
    </row>
    <row r="7" spans="1:14" x14ac:dyDescent="0.25">
      <c r="A7" s="1" t="s">
        <v>10</v>
      </c>
      <c r="B7" s="1" t="str">
        <f t="shared" si="0"/>
        <v>Defaultchn02-bjs10.41.78.4WrongAddressSpace</v>
      </c>
      <c r="C7" t="e">
        <f>VLOOKUP($B7, comment!$B$2:$C$401, 2, FALSE)</f>
        <v>#N/A</v>
      </c>
      <c r="D7" s="1" t="s">
        <v>1947</v>
      </c>
      <c r="E7" s="1" t="s">
        <v>1440</v>
      </c>
      <c r="F7" s="1" t="s">
        <v>1441</v>
      </c>
      <c r="G7" s="1" t="s">
        <v>1442</v>
      </c>
      <c r="H7" s="1" t="s">
        <v>1443</v>
      </c>
      <c r="I7" s="1"/>
      <c r="J7" s="1"/>
      <c r="K7" s="1" t="s">
        <v>1444</v>
      </c>
      <c r="L7" s="1" t="s">
        <v>1445</v>
      </c>
      <c r="M7" s="1" t="s">
        <v>1446</v>
      </c>
      <c r="N7" s="1" t="s">
        <v>1447</v>
      </c>
    </row>
    <row r="8" spans="1:14" x14ac:dyDescent="0.25">
      <c r="A8" s="1" t="s">
        <v>10</v>
      </c>
      <c r="B8" s="1" t="str">
        <f t="shared" si="0"/>
        <v>Defaultchn02-sh010.41.142.4WrongAddressSpace</v>
      </c>
      <c r="C8" t="e">
        <f>VLOOKUP($B8, comment!$B$2:$C$401, 2, FALSE)</f>
        <v>#N/A</v>
      </c>
      <c r="D8" s="1" t="s">
        <v>598</v>
      </c>
      <c r="E8" s="1" t="s">
        <v>1440</v>
      </c>
      <c r="F8" s="1" t="s">
        <v>1448</v>
      </c>
      <c r="G8" s="1" t="s">
        <v>599</v>
      </c>
      <c r="H8" s="1" t="s">
        <v>600</v>
      </c>
      <c r="I8" s="1"/>
      <c r="J8" s="1" t="s">
        <v>24</v>
      </c>
      <c r="K8" s="1" t="s">
        <v>1444</v>
      </c>
      <c r="L8" s="1" t="s">
        <v>1445</v>
      </c>
      <c r="M8" s="1" t="s">
        <v>601</v>
      </c>
      <c r="N8" s="1" t="s">
        <v>1449</v>
      </c>
    </row>
    <row r="9" spans="1:14" x14ac:dyDescent="0.25">
      <c r="A9" s="1" t="s">
        <v>10</v>
      </c>
      <c r="B9" s="1" t="str">
        <f t="shared" si="0"/>
        <v>Defaultchn02-sh010.41.142.4EmptyDatacenter</v>
      </c>
      <c r="C9" t="str">
        <f>VLOOKUP($B9, comment!$B$2:$C$401, 2, FALSE)</f>
        <v>Valid</v>
      </c>
      <c r="D9" s="1" t="s">
        <v>598</v>
      </c>
      <c r="E9" s="1" t="s">
        <v>1440</v>
      </c>
      <c r="F9" s="1" t="s">
        <v>1448</v>
      </c>
      <c r="G9" s="1" t="s">
        <v>599</v>
      </c>
      <c r="H9" s="1" t="s">
        <v>600</v>
      </c>
      <c r="I9" s="1"/>
      <c r="J9" s="1" t="s">
        <v>24</v>
      </c>
      <c r="K9" s="1" t="s">
        <v>31</v>
      </c>
      <c r="L9" s="1" t="s">
        <v>1450</v>
      </c>
      <c r="M9" s="1" t="s">
        <v>601</v>
      </c>
      <c r="N9" s="1" t="s">
        <v>1449</v>
      </c>
    </row>
    <row r="10" spans="1:14" x14ac:dyDescent="0.25">
      <c r="A10" s="1" t="s">
        <v>10</v>
      </c>
      <c r="B10" s="1" t="str">
        <f t="shared" si="0"/>
        <v>Defaultfsdf-by110.1.116.81MismatchedDcName</v>
      </c>
      <c r="C10" t="str">
        <f>VLOOKUP($B10, comment!$B$2:$C$401, 2, FALSE)</f>
        <v>delete</v>
      </c>
      <c r="D10" s="1" t="s">
        <v>12</v>
      </c>
      <c r="E10" s="1" t="s">
        <v>1451</v>
      </c>
      <c r="F10" s="1" t="s">
        <v>1452</v>
      </c>
      <c r="G10" s="1" t="s">
        <v>13</v>
      </c>
      <c r="H10" s="1" t="s">
        <v>14</v>
      </c>
      <c r="I10" s="1" t="s">
        <v>15</v>
      </c>
      <c r="J10" s="1" t="s">
        <v>16</v>
      </c>
      <c r="K10" s="1" t="s">
        <v>17</v>
      </c>
      <c r="L10" s="1" t="s">
        <v>1453</v>
      </c>
      <c r="M10" s="1" t="s">
        <v>19</v>
      </c>
      <c r="N10" s="1" t="s">
        <v>1454</v>
      </c>
    </row>
    <row r="11" spans="1:14" x14ac:dyDescent="0.25">
      <c r="A11" s="1" t="s">
        <v>10</v>
      </c>
      <c r="B11" s="1" t="str">
        <f t="shared" si="0"/>
        <v>Defaultgallatin-sha10.41.138.5WrongAddressSpace</v>
      </c>
      <c r="C11" t="e">
        <f>VLOOKUP($B11, comment!$B$2:$C$401, 2, FALSE)</f>
        <v>#N/A</v>
      </c>
      <c r="D11" s="1" t="s">
        <v>1366</v>
      </c>
      <c r="E11" s="1" t="s">
        <v>1417</v>
      </c>
      <c r="F11" s="1" t="s">
        <v>1455</v>
      </c>
      <c r="G11" s="1" t="s">
        <v>1367</v>
      </c>
      <c r="H11" s="1" t="s">
        <v>1368</v>
      </c>
      <c r="I11" s="1"/>
      <c r="J11" s="1" t="s">
        <v>24</v>
      </c>
      <c r="K11" s="1" t="s">
        <v>1444</v>
      </c>
      <c r="L11" s="1" t="s">
        <v>1445</v>
      </c>
      <c r="M11" s="1" t="s">
        <v>1369</v>
      </c>
      <c r="N11" s="1" t="s">
        <v>1456</v>
      </c>
    </row>
    <row r="12" spans="1:14" x14ac:dyDescent="0.25">
      <c r="A12" s="1" t="s">
        <v>10</v>
      </c>
      <c r="B12" s="1" t="str">
        <f t="shared" si="0"/>
        <v>Defaultgallatin-sha10.41.138.5EmptyDatacenter</v>
      </c>
      <c r="C12" t="e">
        <f>VLOOKUP($B12, comment!$B$2:$C$401, 2, FALSE)</f>
        <v>#N/A</v>
      </c>
      <c r="D12" s="1" t="s">
        <v>1366</v>
      </c>
      <c r="E12" s="1" t="s">
        <v>1417</v>
      </c>
      <c r="F12" s="1" t="s">
        <v>1455</v>
      </c>
      <c r="G12" s="1" t="s">
        <v>1367</v>
      </c>
      <c r="H12" s="1" t="s">
        <v>1368</v>
      </c>
      <c r="I12" s="1"/>
      <c r="J12" s="1" t="s">
        <v>24</v>
      </c>
      <c r="K12" s="1" t="s">
        <v>31</v>
      </c>
      <c r="L12" s="1" t="s">
        <v>1450</v>
      </c>
      <c r="M12" s="1" t="s">
        <v>1369</v>
      </c>
      <c r="N12" s="1" t="s">
        <v>1456</v>
      </c>
    </row>
    <row r="13" spans="1:14" x14ac:dyDescent="0.25">
      <c r="A13" s="1" t="s">
        <v>10</v>
      </c>
      <c r="B13" s="1" t="str">
        <f t="shared" si="0"/>
        <v>Defaultgallatin-w15-sha10.41.194.22WrongAddressSpace</v>
      </c>
      <c r="C13" t="e">
        <f>VLOOKUP($B13, comment!$B$2:$C$401, 2, FALSE)</f>
        <v>#N/A</v>
      </c>
      <c r="D13" s="1" t="s">
        <v>1380</v>
      </c>
      <c r="E13" s="1" t="s">
        <v>1420</v>
      </c>
      <c r="F13" s="1" t="s">
        <v>1455</v>
      </c>
      <c r="G13" s="1" t="s">
        <v>1381</v>
      </c>
      <c r="H13" s="1" t="s">
        <v>1382</v>
      </c>
      <c r="I13" s="1" t="s">
        <v>1383</v>
      </c>
      <c r="J13" s="1" t="s">
        <v>61</v>
      </c>
      <c r="K13" s="1" t="s">
        <v>1444</v>
      </c>
      <c r="L13" s="1" t="s">
        <v>1445</v>
      </c>
      <c r="M13" s="1" t="s">
        <v>1385</v>
      </c>
      <c r="N13" s="1" t="s">
        <v>1457</v>
      </c>
    </row>
    <row r="14" spans="1:14" x14ac:dyDescent="0.25">
      <c r="A14" s="1" t="s">
        <v>10</v>
      </c>
      <c r="B14" s="1" t="str">
        <f t="shared" si="0"/>
        <v>Defaultgallatin-w15-sha10.41.194.22MismatchedDcName</v>
      </c>
      <c r="C14" t="e">
        <f>VLOOKUP($B14, comment!$B$2:$C$401, 2, FALSE)</f>
        <v>#N/A</v>
      </c>
      <c r="D14" s="1" t="s">
        <v>1380</v>
      </c>
      <c r="E14" s="1" t="s">
        <v>1420</v>
      </c>
      <c r="F14" s="1" t="s">
        <v>1455</v>
      </c>
      <c r="G14" s="1" t="s">
        <v>1381</v>
      </c>
      <c r="H14" s="1" t="s">
        <v>1382</v>
      </c>
      <c r="I14" s="1" t="s">
        <v>1383</v>
      </c>
      <c r="J14" s="1" t="s">
        <v>61</v>
      </c>
      <c r="K14" s="1" t="s">
        <v>17</v>
      </c>
      <c r="L14" s="1" t="s">
        <v>1384</v>
      </c>
      <c r="M14" s="1" t="s">
        <v>1385</v>
      </c>
      <c r="N14" s="1" t="s">
        <v>1457</v>
      </c>
    </row>
    <row r="15" spans="1:14" x14ac:dyDescent="0.25">
      <c r="A15" s="1" t="s">
        <v>10</v>
      </c>
      <c r="B15" s="1" t="str">
        <f t="shared" si="0"/>
        <v>Defaultgallatin-w15-bjb10.41.2.22WrongAddressSpace</v>
      </c>
      <c r="C15" t="e">
        <f>VLOOKUP($B15, comment!$B$2:$C$401, 2, FALSE)</f>
        <v>#N/A</v>
      </c>
      <c r="D15" s="1" t="s">
        <v>1379</v>
      </c>
      <c r="E15" s="1" t="s">
        <v>1420</v>
      </c>
      <c r="F15" s="1" t="s">
        <v>1418</v>
      </c>
      <c r="G15" s="1" t="s">
        <v>1458</v>
      </c>
      <c r="H15" s="1" t="s">
        <v>1459</v>
      </c>
      <c r="I15" s="1"/>
      <c r="J15" s="1"/>
      <c r="K15" s="1" t="s">
        <v>1444</v>
      </c>
      <c r="L15" s="1" t="s">
        <v>1445</v>
      </c>
      <c r="M15" s="1" t="s">
        <v>1460</v>
      </c>
      <c r="N15" s="1" t="s">
        <v>1461</v>
      </c>
    </row>
    <row r="16" spans="1:14" x14ac:dyDescent="0.25">
      <c r="A16" s="1" t="s">
        <v>10</v>
      </c>
      <c r="B16" s="1" t="str">
        <f t="shared" si="0"/>
        <v>Defaultgls01-hk225.155.220.4InvalidTitle</v>
      </c>
      <c r="C16" t="str">
        <f>VLOOKUP($B16, comment!$B$2:$C$401, 2, FALSE)</f>
        <v>Valid</v>
      </c>
      <c r="D16" s="1" t="s">
        <v>848</v>
      </c>
      <c r="E16" s="1" t="s">
        <v>1462</v>
      </c>
      <c r="F16" s="1" t="s">
        <v>1464</v>
      </c>
      <c r="G16" s="1" t="s">
        <v>849</v>
      </c>
      <c r="H16" s="1" t="s">
        <v>850</v>
      </c>
      <c r="I16" s="1" t="s">
        <v>111</v>
      </c>
      <c r="J16" s="1" t="s">
        <v>112</v>
      </c>
      <c r="K16" s="1" t="s">
        <v>62</v>
      </c>
      <c r="L16" s="1" t="s">
        <v>851</v>
      </c>
      <c r="M16" s="1" t="s">
        <v>852</v>
      </c>
      <c r="N16" s="1" t="s">
        <v>1465</v>
      </c>
    </row>
    <row r="17" spans="1:14" x14ac:dyDescent="0.25">
      <c r="A17" s="1" t="s">
        <v>10</v>
      </c>
      <c r="B17" s="1" t="str">
        <f t="shared" si="0"/>
        <v>Defaultgls06-fra25.157.216.4DubiousTitle</v>
      </c>
      <c r="C17" t="e">
        <f>VLOOKUP($B17, comment!$B$2:$C$401, 2, FALSE)</f>
        <v>#N/A</v>
      </c>
      <c r="D17" s="1" t="s">
        <v>892</v>
      </c>
      <c r="E17" s="1" t="s">
        <v>1466</v>
      </c>
      <c r="F17" s="1" t="s">
        <v>1467</v>
      </c>
      <c r="G17" s="1" t="s">
        <v>893</v>
      </c>
      <c r="H17" s="1" t="s">
        <v>894</v>
      </c>
      <c r="I17" s="1" t="s">
        <v>895</v>
      </c>
      <c r="J17" s="1" t="s">
        <v>896</v>
      </c>
      <c r="K17" s="1" t="s">
        <v>1964</v>
      </c>
      <c r="L17" s="1" t="s">
        <v>1969</v>
      </c>
      <c r="M17" s="1" t="s">
        <v>1468</v>
      </c>
      <c r="N17" s="1" t="s">
        <v>1469</v>
      </c>
    </row>
    <row r="18" spans="1:14" x14ac:dyDescent="0.25">
      <c r="A18" s="1" t="s">
        <v>10</v>
      </c>
      <c r="B18" s="1" t="str">
        <f t="shared" si="0"/>
        <v>Defaultgls06-lej25.157.218.4DubiousTitle</v>
      </c>
      <c r="C18" t="e">
        <f>VLOOKUP($B18, comment!$B$2:$C$401, 2, FALSE)</f>
        <v>#N/A</v>
      </c>
      <c r="D18" s="1" t="s">
        <v>901</v>
      </c>
      <c r="E18" s="1" t="s">
        <v>1466</v>
      </c>
      <c r="F18" s="1" t="s">
        <v>1473</v>
      </c>
      <c r="G18" s="1" t="s">
        <v>911</v>
      </c>
      <c r="H18" s="1" t="s">
        <v>912</v>
      </c>
      <c r="I18" s="1" t="s">
        <v>775</v>
      </c>
      <c r="J18" s="1" t="s">
        <v>776</v>
      </c>
      <c r="K18" s="1" t="s">
        <v>1964</v>
      </c>
      <c r="L18" s="1" t="s">
        <v>1969</v>
      </c>
      <c r="M18" s="1" t="s">
        <v>1474</v>
      </c>
      <c r="N18" s="1" t="s">
        <v>1475</v>
      </c>
    </row>
    <row r="19" spans="1:14" x14ac:dyDescent="0.25">
      <c r="A19" s="1" t="s">
        <v>10</v>
      </c>
      <c r="B19" s="1" t="str">
        <f t="shared" si="0"/>
        <v>Defaultgls07-cy110.40.122.4EmptyDatacenter</v>
      </c>
      <c r="C19" t="str">
        <f>VLOOKUP($B19, comment!$B$2:$C$401, 2, FALSE)</f>
        <v>Valid</v>
      </c>
      <c r="D19" s="1" t="s">
        <v>917</v>
      </c>
      <c r="E19" s="1" t="s">
        <v>1470</v>
      </c>
      <c r="F19" s="1" t="s">
        <v>1471</v>
      </c>
      <c r="G19" s="1" t="s">
        <v>918</v>
      </c>
      <c r="H19" s="1" t="s">
        <v>919</v>
      </c>
      <c r="I19" s="1"/>
      <c r="J19" s="1" t="s">
        <v>350</v>
      </c>
      <c r="K19" s="1" t="s">
        <v>31</v>
      </c>
      <c r="L19" s="1" t="s">
        <v>1450</v>
      </c>
      <c r="M19" s="1" t="s">
        <v>664</v>
      </c>
      <c r="N19" s="1" t="s">
        <v>1472</v>
      </c>
    </row>
    <row r="20" spans="1:14" x14ac:dyDescent="0.25">
      <c r="A20" s="1" t="s">
        <v>10</v>
      </c>
      <c r="B20" s="1" t="str">
        <f t="shared" si="0"/>
        <v>Defaultgls09-mnz10.20.8.129WrongAddressSpace</v>
      </c>
      <c r="C20" t="e">
        <f>VLOOKUP($B20, comment!$B$2:$C$401, 2, FALSE)</f>
        <v>#N/A</v>
      </c>
      <c r="D20" s="1" t="s">
        <v>1387</v>
      </c>
      <c r="E20" s="1" t="s">
        <v>1421</v>
      </c>
      <c r="F20" s="1" t="s">
        <v>1422</v>
      </c>
      <c r="G20" s="1" t="s">
        <v>86</v>
      </c>
      <c r="H20" s="1" t="s">
        <v>87</v>
      </c>
      <c r="I20" s="1" t="s">
        <v>88</v>
      </c>
      <c r="J20" s="1"/>
      <c r="K20" s="1" t="s">
        <v>1444</v>
      </c>
      <c r="L20" s="1" t="s">
        <v>1476</v>
      </c>
      <c r="M20" s="1"/>
      <c r="N20" s="1" t="s">
        <v>1477</v>
      </c>
    </row>
    <row r="21" spans="1:14" x14ac:dyDescent="0.25">
      <c r="A21" s="1" t="s">
        <v>10</v>
      </c>
      <c r="B21" s="1" t="str">
        <f t="shared" si="0"/>
        <v>Defaultgls09-mnz10.20.8.129Obsolete</v>
      </c>
      <c r="C21" t="e">
        <f>VLOOKUP($B21, comment!$B$2:$C$401, 2, FALSE)</f>
        <v>#N/A</v>
      </c>
      <c r="D21" s="1" t="s">
        <v>1387</v>
      </c>
      <c r="E21" s="1" t="s">
        <v>1421</v>
      </c>
      <c r="F21" s="1" t="s">
        <v>1422</v>
      </c>
      <c r="G21" s="1" t="s">
        <v>86</v>
      </c>
      <c r="H21" s="1" t="s">
        <v>87</v>
      </c>
      <c r="I21" s="1" t="s">
        <v>88</v>
      </c>
      <c r="J21" s="1"/>
      <c r="K21" s="1" t="s">
        <v>39</v>
      </c>
      <c r="L21" s="1" t="s">
        <v>40</v>
      </c>
      <c r="M21" s="1"/>
      <c r="N21" s="1" t="s">
        <v>1477</v>
      </c>
    </row>
    <row r="22" spans="1:14" x14ac:dyDescent="0.25">
      <c r="A22" s="1" t="s">
        <v>10</v>
      </c>
      <c r="B22" s="1" t="str">
        <f t="shared" si="0"/>
        <v>Defaultgls10-gz07.29.81.0WrongAddressSpace</v>
      </c>
      <c r="C22" t="e">
        <f>VLOOKUP($B22, comment!$B$2:$C$401, 2, FALSE)</f>
        <v>#N/A</v>
      </c>
      <c r="D22" s="1" t="s">
        <v>1949</v>
      </c>
      <c r="E22" s="1" t="s">
        <v>1478</v>
      </c>
      <c r="F22" s="1" t="s">
        <v>1479</v>
      </c>
      <c r="G22" s="1" t="s">
        <v>1982</v>
      </c>
      <c r="H22" s="1" t="s">
        <v>1480</v>
      </c>
      <c r="I22" s="1"/>
      <c r="J22" s="1"/>
      <c r="K22" s="1" t="s">
        <v>1444</v>
      </c>
      <c r="L22" s="1" t="s">
        <v>1481</v>
      </c>
      <c r="M22" s="1" t="s">
        <v>1482</v>
      </c>
      <c r="N22" s="1" t="s">
        <v>1483</v>
      </c>
    </row>
    <row r="23" spans="1:14" x14ac:dyDescent="0.25">
      <c r="A23" s="1" t="s">
        <v>10</v>
      </c>
      <c r="B23" s="1" t="str">
        <f t="shared" si="0"/>
        <v>Defaultgls09-sn810.20.8.130WrongAddressSpace</v>
      </c>
      <c r="C23" t="e">
        <f>VLOOKUP($B23, comment!$B$2:$C$401, 2, FALSE)</f>
        <v>#N/A</v>
      </c>
      <c r="D23" s="1" t="s">
        <v>1948</v>
      </c>
      <c r="E23" s="1" t="s">
        <v>1421</v>
      </c>
      <c r="F23" s="1" t="s">
        <v>1484</v>
      </c>
      <c r="G23" s="1" t="s">
        <v>1389</v>
      </c>
      <c r="H23" s="1" t="s">
        <v>1390</v>
      </c>
      <c r="I23" s="1" t="s">
        <v>88</v>
      </c>
      <c r="J23" s="1"/>
      <c r="K23" s="1" t="s">
        <v>1444</v>
      </c>
      <c r="L23" s="1" t="s">
        <v>1476</v>
      </c>
      <c r="M23" s="1"/>
      <c r="N23" s="1" t="s">
        <v>1485</v>
      </c>
    </row>
    <row r="24" spans="1:14" x14ac:dyDescent="0.25">
      <c r="A24" s="1" t="s">
        <v>10</v>
      </c>
      <c r="B24" s="1" t="str">
        <f t="shared" si="0"/>
        <v>Defaultgls09-sn810.20.8.130Obsolete</v>
      </c>
      <c r="C24" t="e">
        <f>VLOOKUP($B24, comment!$B$2:$C$401, 2, FALSE)</f>
        <v>#N/A</v>
      </c>
      <c r="D24" s="1" t="s">
        <v>1948</v>
      </c>
      <c r="E24" s="1" t="s">
        <v>1421</v>
      </c>
      <c r="F24" s="1" t="s">
        <v>1484</v>
      </c>
      <c r="G24" s="1" t="s">
        <v>1389</v>
      </c>
      <c r="H24" s="1" t="s">
        <v>1390</v>
      </c>
      <c r="I24" s="1" t="s">
        <v>88</v>
      </c>
      <c r="J24" s="1"/>
      <c r="K24" s="1" t="s">
        <v>39</v>
      </c>
      <c r="L24" s="1" t="s">
        <v>40</v>
      </c>
      <c r="M24" s="1"/>
      <c r="N24" s="1" t="s">
        <v>1485</v>
      </c>
    </row>
    <row r="25" spans="1:14" x14ac:dyDescent="0.25">
      <c r="A25" s="1" t="s">
        <v>10</v>
      </c>
      <c r="B25" s="1" t="str">
        <f t="shared" si="0"/>
        <v>Defaultgtm-fsdf-sn210.111.201.33DubiousTitle</v>
      </c>
      <c r="C25" t="e">
        <f>VLOOKUP($B25, comment!$B$2:$C$401, 2, FALSE)</f>
        <v>#N/A</v>
      </c>
      <c r="D25" s="1" t="s">
        <v>1950</v>
      </c>
      <c r="E25" s="1" t="s">
        <v>1486</v>
      </c>
      <c r="F25" s="1" t="s">
        <v>1487</v>
      </c>
      <c r="G25" s="1" t="s">
        <v>1488</v>
      </c>
      <c r="H25" s="1" t="s">
        <v>1489</v>
      </c>
      <c r="I25" s="1" t="s">
        <v>1490</v>
      </c>
      <c r="J25" s="1" t="s">
        <v>164</v>
      </c>
      <c r="K25" s="1" t="s">
        <v>1964</v>
      </c>
      <c r="L25" s="1" t="s">
        <v>1969</v>
      </c>
      <c r="M25" s="1" t="s">
        <v>1491</v>
      </c>
      <c r="N25" s="1" t="s">
        <v>1492</v>
      </c>
    </row>
    <row r="26" spans="1:14" x14ac:dyDescent="0.25">
      <c r="A26" s="1" t="s">
        <v>10</v>
      </c>
      <c r="B26" s="1" t="str">
        <f t="shared" si="0"/>
        <v>Defaultgtm-fsdf-by110.1.16.31EmptyDatacenter</v>
      </c>
      <c r="C26" t="str">
        <f>VLOOKUP($B26, comment!$B$2:$C$401, 2, FALSE)</f>
        <v>delete</v>
      </c>
      <c r="D26" s="1" t="s">
        <v>27</v>
      </c>
      <c r="E26" s="1" t="s">
        <v>1486</v>
      </c>
      <c r="F26" s="1" t="s">
        <v>1452</v>
      </c>
      <c r="G26" s="1" t="s">
        <v>28</v>
      </c>
      <c r="H26" s="1" t="s">
        <v>29</v>
      </c>
      <c r="I26" s="1"/>
      <c r="J26" s="1" t="s">
        <v>30</v>
      </c>
      <c r="K26" s="1" t="s">
        <v>31</v>
      </c>
      <c r="L26" s="1" t="s">
        <v>1450</v>
      </c>
      <c r="M26" s="1" t="s">
        <v>33</v>
      </c>
      <c r="N26" s="1" t="s">
        <v>1493</v>
      </c>
    </row>
    <row r="27" spans="1:14" x14ac:dyDescent="0.25">
      <c r="A27" s="1" t="s">
        <v>10</v>
      </c>
      <c r="B27" s="1" t="str">
        <f t="shared" si="0"/>
        <v>Defaultgls07-sn510.40.112.8EmptyDatacenter</v>
      </c>
      <c r="C27" t="e">
        <f>VLOOKUP($B27, comment!$B$2:$C$401, 2, FALSE)</f>
        <v>#N/A</v>
      </c>
      <c r="D27" s="1" t="s">
        <v>920</v>
      </c>
      <c r="E27" s="1" t="s">
        <v>1470</v>
      </c>
      <c r="F27" s="1" t="s">
        <v>1494</v>
      </c>
      <c r="G27" s="1" t="s">
        <v>928</v>
      </c>
      <c r="H27" s="1" t="s">
        <v>929</v>
      </c>
      <c r="I27" s="1"/>
      <c r="J27" s="1" t="s">
        <v>237</v>
      </c>
      <c r="K27" s="1" t="s">
        <v>31</v>
      </c>
      <c r="L27" s="1" t="s">
        <v>1450</v>
      </c>
      <c r="M27" s="1" t="s">
        <v>845</v>
      </c>
      <c r="N27" s="1" t="s">
        <v>1495</v>
      </c>
    </row>
    <row r="28" spans="1:14" x14ac:dyDescent="0.25">
      <c r="A28" s="1" t="s">
        <v>10</v>
      </c>
      <c r="B28" s="1" t="str">
        <f t="shared" si="0"/>
        <v>Defaultgls09-mnz260c:162:0:5881::WrongAddressSpace</v>
      </c>
      <c r="C28" t="e">
        <f>VLOOKUP($B28, comment!$B$2:$C$401, 2, FALSE)</f>
        <v>#N/A</v>
      </c>
      <c r="D28" s="1" t="s">
        <v>1387</v>
      </c>
      <c r="E28" s="1" t="s">
        <v>1421</v>
      </c>
      <c r="F28" s="1" t="s">
        <v>1422</v>
      </c>
      <c r="G28" s="1" t="s">
        <v>1979</v>
      </c>
      <c r="H28" s="1" t="s">
        <v>1496</v>
      </c>
      <c r="I28" s="1"/>
      <c r="J28" s="1"/>
      <c r="K28" s="1" t="s">
        <v>1444</v>
      </c>
      <c r="L28" s="1" t="s">
        <v>1476</v>
      </c>
      <c r="M28" s="1"/>
      <c r="N28" s="1" t="s">
        <v>1497</v>
      </c>
    </row>
    <row r="29" spans="1:14" x14ac:dyDescent="0.25">
      <c r="A29" s="1" t="s">
        <v>10</v>
      </c>
      <c r="B29" s="1" t="str">
        <f t="shared" si="0"/>
        <v>Defaultgls10-rz02001:489a:2202:2001::WrongAddressSpace</v>
      </c>
      <c r="C29" t="e">
        <f>VLOOKUP($B29, comment!$B$2:$C$401, 2, FALSE)</f>
        <v>#N/A</v>
      </c>
      <c r="D29" s="1" t="s">
        <v>1951</v>
      </c>
      <c r="E29" s="1" t="s">
        <v>1478</v>
      </c>
      <c r="F29" s="1" t="s">
        <v>1498</v>
      </c>
      <c r="G29" s="1" t="s">
        <v>1499</v>
      </c>
      <c r="H29" s="1" t="s">
        <v>1500</v>
      </c>
      <c r="I29" s="1"/>
      <c r="J29" s="1"/>
      <c r="K29" s="1" t="s">
        <v>1444</v>
      </c>
      <c r="L29" s="1" t="s">
        <v>1481</v>
      </c>
      <c r="M29" s="1" t="s">
        <v>1501</v>
      </c>
      <c r="N29" s="1" t="s">
        <v>1502</v>
      </c>
    </row>
    <row r="30" spans="1:14" x14ac:dyDescent="0.25">
      <c r="A30" s="1" t="s">
        <v>10</v>
      </c>
      <c r="B30" s="1" t="str">
        <f t="shared" si="0"/>
        <v>Defaultgls10-gz0fd35:eef2:2500:0004::WrongAddressSpace</v>
      </c>
      <c r="C30" t="e">
        <f>VLOOKUP($B30, comment!$B$2:$C$401, 2, FALSE)</f>
        <v>#N/A</v>
      </c>
      <c r="D30" s="1" t="s">
        <v>1949</v>
      </c>
      <c r="E30" s="1" t="s">
        <v>1478</v>
      </c>
      <c r="F30" s="1" t="s">
        <v>1479</v>
      </c>
      <c r="G30" s="1" t="s">
        <v>1503</v>
      </c>
      <c r="H30" s="1" t="s">
        <v>1504</v>
      </c>
      <c r="I30" s="1"/>
      <c r="J30" s="1"/>
      <c r="K30" s="1" t="s">
        <v>1444</v>
      </c>
      <c r="L30" s="1" t="s">
        <v>1481</v>
      </c>
      <c r="M30" s="1" t="s">
        <v>1505</v>
      </c>
      <c r="N30" s="1" t="s">
        <v>1506</v>
      </c>
    </row>
    <row r="31" spans="1:14" x14ac:dyDescent="0.25">
      <c r="A31" s="1" t="s">
        <v>10</v>
      </c>
      <c r="B31" s="1" t="str">
        <f t="shared" si="0"/>
        <v>Defaultsap01-ps110.233.196.5InvalidRegion</v>
      </c>
      <c r="C31" t="e">
        <f>VLOOKUP($B31, comment!$B$2:$C$401, 2, FALSE)</f>
        <v>#N/A</v>
      </c>
      <c r="D31" s="1" t="s">
        <v>1261</v>
      </c>
      <c r="E31" s="1" t="s">
        <v>1508</v>
      </c>
      <c r="F31" s="1" t="s">
        <v>1509</v>
      </c>
      <c r="G31" s="1" t="s">
        <v>1262</v>
      </c>
      <c r="H31" s="1" t="s">
        <v>1263</v>
      </c>
      <c r="I31" s="1" t="s">
        <v>968</v>
      </c>
      <c r="J31" s="1" t="s">
        <v>1264</v>
      </c>
      <c r="K31" s="1" t="s">
        <v>1427</v>
      </c>
      <c r="L31" s="1" t="s">
        <v>1940</v>
      </c>
      <c r="M31" s="1" t="s">
        <v>1510</v>
      </c>
      <c r="N31" s="1" t="s">
        <v>1511</v>
      </c>
    </row>
    <row r="32" spans="1:14" x14ac:dyDescent="0.25">
      <c r="A32" s="1" t="s">
        <v>10</v>
      </c>
      <c r="B32" s="1" t="str">
        <f t="shared" si="0"/>
        <v>Defaultscn01-bjs10.10.57.132WrongAddressSpace</v>
      </c>
      <c r="C32" t="e">
        <f>VLOOKUP($B32, comment!$B$2:$C$401, 2, FALSE)</f>
        <v>#N/A</v>
      </c>
      <c r="D32" s="1" t="s">
        <v>1393</v>
      </c>
      <c r="E32" s="1" t="s">
        <v>1512</v>
      </c>
      <c r="F32" s="1" t="s">
        <v>1441</v>
      </c>
      <c r="G32" s="1" t="s">
        <v>1513</v>
      </c>
      <c r="H32" s="1" t="s">
        <v>1514</v>
      </c>
      <c r="I32" s="1"/>
      <c r="J32" s="1"/>
      <c r="K32" s="1" t="s">
        <v>1444</v>
      </c>
      <c r="L32" s="1" t="s">
        <v>1445</v>
      </c>
      <c r="M32" s="1" t="s">
        <v>1515</v>
      </c>
      <c r="N32" s="1" t="s">
        <v>1516</v>
      </c>
    </row>
    <row r="33" spans="1:14" x14ac:dyDescent="0.25">
      <c r="A33" s="1" t="s">
        <v>10</v>
      </c>
      <c r="B33" s="1" t="str">
        <f t="shared" si="0"/>
        <v>Defaultscn01-sh010.12.57.4WrongAddressSpace</v>
      </c>
      <c r="C33" t="e">
        <f>VLOOKUP($B33, comment!$B$2:$C$401, 2, FALSE)</f>
        <v>#N/A</v>
      </c>
      <c r="D33" s="1" t="s">
        <v>1398</v>
      </c>
      <c r="E33" s="1" t="s">
        <v>1512</v>
      </c>
      <c r="F33" s="1" t="s">
        <v>1448</v>
      </c>
      <c r="G33" s="1" t="s">
        <v>1399</v>
      </c>
      <c r="H33" s="1" t="s">
        <v>1400</v>
      </c>
      <c r="I33" s="1" t="s">
        <v>1401</v>
      </c>
      <c r="J33" s="1" t="s">
        <v>123</v>
      </c>
      <c r="K33" s="1" t="s">
        <v>1444</v>
      </c>
      <c r="L33" s="1" t="s">
        <v>1445</v>
      </c>
      <c r="M33" s="1" t="s">
        <v>1403</v>
      </c>
      <c r="N33" s="1" t="s">
        <v>1517</v>
      </c>
    </row>
    <row r="34" spans="1:14" x14ac:dyDescent="0.25">
      <c r="A34" s="1" t="s">
        <v>10</v>
      </c>
      <c r="B34" s="1" t="str">
        <f t="shared" si="0"/>
        <v>Defaultscn01-sh010.12.57.4MismatchedDcName</v>
      </c>
      <c r="C34" t="e">
        <f>VLOOKUP($B34, comment!$B$2:$C$401, 2, FALSE)</f>
        <v>#N/A</v>
      </c>
      <c r="D34" s="1" t="s">
        <v>1398</v>
      </c>
      <c r="E34" s="1" t="s">
        <v>1512</v>
      </c>
      <c r="F34" s="1" t="s">
        <v>1448</v>
      </c>
      <c r="G34" s="1" t="s">
        <v>1399</v>
      </c>
      <c r="H34" s="1" t="s">
        <v>1400</v>
      </c>
      <c r="I34" s="1" t="s">
        <v>1401</v>
      </c>
      <c r="J34" s="1" t="s">
        <v>123</v>
      </c>
      <c r="K34" s="1" t="s">
        <v>17</v>
      </c>
      <c r="L34" s="1" t="s">
        <v>1402</v>
      </c>
      <c r="M34" s="1" t="s">
        <v>1403</v>
      </c>
      <c r="N34" s="1" t="s">
        <v>1517</v>
      </c>
    </row>
    <row r="35" spans="1:14" x14ac:dyDescent="0.25">
      <c r="A35" s="1" t="s">
        <v>10</v>
      </c>
      <c r="B35" s="1" t="str">
        <f t="shared" si="0"/>
        <v>Defaultson01-co125.155.154.4DubiousTitle</v>
      </c>
      <c r="C35" t="e">
        <f>VLOOKUP($B35, comment!$B$2:$C$401, 2, FALSE)</f>
        <v>#N/A</v>
      </c>
      <c r="D35" s="1" t="s">
        <v>1270</v>
      </c>
      <c r="E35" s="1" t="s">
        <v>1518</v>
      </c>
      <c r="F35" s="1" t="s">
        <v>1519</v>
      </c>
      <c r="G35" s="1" t="s">
        <v>1322</v>
      </c>
      <c r="H35" s="1" t="s">
        <v>1323</v>
      </c>
      <c r="I35" s="1" t="s">
        <v>122</v>
      </c>
      <c r="J35" s="1" t="s">
        <v>123</v>
      </c>
      <c r="K35" s="1" t="s">
        <v>1964</v>
      </c>
      <c r="L35" s="1" t="s">
        <v>1969</v>
      </c>
      <c r="M35" s="1" t="s">
        <v>1520</v>
      </c>
      <c r="N35" s="1" t="s">
        <v>1521</v>
      </c>
    </row>
    <row r="36" spans="1:14" x14ac:dyDescent="0.25">
      <c r="A36" s="1" t="s">
        <v>1523</v>
      </c>
      <c r="B36" s="1" t="str">
        <f t="shared" si="0"/>
        <v>GalaCakeapac-hk110.24.152.17WrongAddressSpace</v>
      </c>
      <c r="C36" t="e">
        <f>VLOOKUP($B36, comment!$B$2:$C$401, 2, FALSE)</f>
        <v>#N/A</v>
      </c>
      <c r="D36" s="1" t="s">
        <v>356</v>
      </c>
      <c r="E36" s="1" t="s">
        <v>1524</v>
      </c>
      <c r="F36" s="1" t="s">
        <v>1527</v>
      </c>
      <c r="G36" s="1" t="s">
        <v>357</v>
      </c>
      <c r="H36" s="1" t="s">
        <v>1528</v>
      </c>
      <c r="I36" s="1"/>
      <c r="J36" s="1"/>
      <c r="K36" s="1" t="s">
        <v>1444</v>
      </c>
      <c r="L36" s="1" t="s">
        <v>1525</v>
      </c>
      <c r="M36" s="1" t="s">
        <v>1529</v>
      </c>
      <c r="N36" s="1" t="s">
        <v>1530</v>
      </c>
    </row>
    <row r="37" spans="1:14" x14ac:dyDescent="0.25">
      <c r="A37" s="1" t="s">
        <v>1523</v>
      </c>
      <c r="B37" s="1" t="str">
        <f t="shared" si="0"/>
        <v>GalaCakeapc01-hka20.128.57.148WrongAddressSpace</v>
      </c>
      <c r="C37" t="e">
        <f>VLOOKUP($B37, comment!$B$2:$C$401, 2, FALSE)</f>
        <v>#N/A</v>
      </c>
      <c r="D37" s="1" t="s">
        <v>1983</v>
      </c>
      <c r="E37" s="1" t="s">
        <v>1423</v>
      </c>
      <c r="F37" s="1" t="s">
        <v>1984</v>
      </c>
      <c r="G37" s="1" t="s">
        <v>1985</v>
      </c>
      <c r="H37" s="1" t="s">
        <v>1480</v>
      </c>
      <c r="I37" s="1"/>
      <c r="J37" s="1"/>
      <c r="K37" s="1" t="s">
        <v>1444</v>
      </c>
      <c r="L37" s="1" t="s">
        <v>1525</v>
      </c>
      <c r="M37" s="1" t="s">
        <v>1482</v>
      </c>
      <c r="N37" s="1" t="s">
        <v>1526</v>
      </c>
    </row>
    <row r="38" spans="1:14" x14ac:dyDescent="0.25">
      <c r="A38" s="1" t="s">
        <v>1523</v>
      </c>
      <c r="B38" s="1" t="str">
        <f t="shared" si="0"/>
        <v>GalaCakefunc-sn210.10.1.2WrongAddressSpace</v>
      </c>
      <c r="C38" t="e">
        <f>VLOOKUP($B38, comment!$B$2:$C$401, 2, FALSE)</f>
        <v>#N/A</v>
      </c>
      <c r="D38" s="1" t="s">
        <v>1986</v>
      </c>
      <c r="E38" s="1" t="s">
        <v>1531</v>
      </c>
      <c r="F38" s="1" t="s">
        <v>1487</v>
      </c>
      <c r="G38" s="1" t="s">
        <v>1987</v>
      </c>
      <c r="H38" s="1" t="s">
        <v>1532</v>
      </c>
      <c r="I38" s="1"/>
      <c r="J38" s="1"/>
      <c r="K38" s="1" t="s">
        <v>1444</v>
      </c>
      <c r="L38" s="1" t="s">
        <v>1525</v>
      </c>
      <c r="M38" s="1" t="s">
        <v>1533</v>
      </c>
      <c r="N38" s="1" t="s">
        <v>1534</v>
      </c>
    </row>
    <row r="39" spans="1:14" x14ac:dyDescent="0.25">
      <c r="A39" s="1" t="s">
        <v>1523</v>
      </c>
      <c r="B39" s="1" t="str">
        <f t="shared" si="0"/>
        <v>GalaCakegallatin-w15-sha10.41.194.22Obsolete</v>
      </c>
      <c r="C39" t="e">
        <f>VLOOKUP($B39, comment!$B$2:$C$401, 2, FALSE)</f>
        <v>#N/A</v>
      </c>
      <c r="D39" s="1" t="s">
        <v>1380</v>
      </c>
      <c r="E39" s="1" t="s">
        <v>1420</v>
      </c>
      <c r="F39" s="1" t="s">
        <v>1455</v>
      </c>
      <c r="G39" s="1" t="s">
        <v>1381</v>
      </c>
      <c r="H39" s="1" t="s">
        <v>1548</v>
      </c>
      <c r="I39" s="1" t="s">
        <v>1549</v>
      </c>
      <c r="J39" s="1" t="s">
        <v>1550</v>
      </c>
      <c r="K39" s="1" t="s">
        <v>39</v>
      </c>
      <c r="L39" s="1" t="s">
        <v>40</v>
      </c>
      <c r="M39" s="1"/>
      <c r="N39" s="1" t="s">
        <v>1551</v>
      </c>
    </row>
    <row r="40" spans="1:14" x14ac:dyDescent="0.25">
      <c r="A40" s="1" t="s">
        <v>1523</v>
      </c>
      <c r="B40" s="1" t="str">
        <f t="shared" si="0"/>
        <v>GalaCakegallatin-bjb10.41.76.5MismatchedDcName</v>
      </c>
      <c r="C40" t="e">
        <f>VLOOKUP($B40, comment!$B$2:$C$401, 2, FALSE)</f>
        <v>#N/A</v>
      </c>
      <c r="D40" s="1" t="s">
        <v>1360</v>
      </c>
      <c r="E40" s="1" t="s">
        <v>1417</v>
      </c>
      <c r="F40" s="1" t="s">
        <v>1418</v>
      </c>
      <c r="G40" s="1" t="s">
        <v>1535</v>
      </c>
      <c r="H40" s="1" t="s">
        <v>1536</v>
      </c>
      <c r="I40" s="1" t="s">
        <v>1537</v>
      </c>
      <c r="J40" s="1" t="s">
        <v>1538</v>
      </c>
      <c r="K40" s="1" t="s">
        <v>17</v>
      </c>
      <c r="L40" s="1" t="s">
        <v>1539</v>
      </c>
      <c r="M40" s="1" t="s">
        <v>1540</v>
      </c>
      <c r="N40" s="1" t="s">
        <v>1541</v>
      </c>
    </row>
    <row r="41" spans="1:14" x14ac:dyDescent="0.25">
      <c r="A41" s="1" t="s">
        <v>1523</v>
      </c>
      <c r="B41" s="1" t="str">
        <f t="shared" si="0"/>
        <v>GalaCakegallatin-w15-bjb10.41.2.22Obsolete</v>
      </c>
      <c r="C41" t="e">
        <f>VLOOKUP($B41, comment!$B$2:$C$401, 2, FALSE)</f>
        <v>#N/A</v>
      </c>
      <c r="D41" s="1" t="s">
        <v>1379</v>
      </c>
      <c r="E41" s="1" t="s">
        <v>1420</v>
      </c>
      <c r="F41" s="1" t="s">
        <v>1418</v>
      </c>
      <c r="G41" s="1" t="s">
        <v>1458</v>
      </c>
      <c r="H41" s="1" t="s">
        <v>1544</v>
      </c>
      <c r="I41" s="1" t="s">
        <v>1545</v>
      </c>
      <c r="J41" s="1" t="s">
        <v>1546</v>
      </c>
      <c r="K41" s="1" t="s">
        <v>39</v>
      </c>
      <c r="L41" s="1" t="s">
        <v>40</v>
      </c>
      <c r="M41" s="1"/>
      <c r="N41" s="1" t="s">
        <v>1547</v>
      </c>
    </row>
    <row r="42" spans="1:14" x14ac:dyDescent="0.25">
      <c r="A42" s="1" t="s">
        <v>1523</v>
      </c>
      <c r="B42" s="1" t="str">
        <f t="shared" si="0"/>
        <v>GalaCakegls01-dm610.40.82.116WrongAddressSpace</v>
      </c>
      <c r="C42" t="e">
        <f>VLOOKUP($B42, comment!$B$2:$C$401, 2, FALSE)</f>
        <v>#N/A</v>
      </c>
      <c r="D42" s="1" t="s">
        <v>842</v>
      </c>
      <c r="E42" s="1" t="s">
        <v>1462</v>
      </c>
      <c r="F42" s="1" t="s">
        <v>1463</v>
      </c>
      <c r="G42" s="1" t="s">
        <v>843</v>
      </c>
      <c r="H42" s="1" t="s">
        <v>1552</v>
      </c>
      <c r="I42" s="1" t="s">
        <v>1545</v>
      </c>
      <c r="J42" s="1" t="s">
        <v>1546</v>
      </c>
      <c r="K42" s="1" t="s">
        <v>1444</v>
      </c>
      <c r="L42" s="1" t="s">
        <v>1525</v>
      </c>
      <c r="M42" s="1" t="s">
        <v>1553</v>
      </c>
      <c r="N42" s="1" t="s">
        <v>1554</v>
      </c>
    </row>
    <row r="43" spans="1:14" x14ac:dyDescent="0.25">
      <c r="A43" s="1" t="s">
        <v>1523</v>
      </c>
      <c r="B43" s="1" t="str">
        <f t="shared" si="0"/>
        <v>GalaCakegtm-fsdf-by110.1.16.31WrongAddressSpace</v>
      </c>
      <c r="C43" t="e">
        <f>VLOOKUP($B43, comment!$B$2:$C$401, 2, FALSE)</f>
        <v>#N/A</v>
      </c>
      <c r="D43" s="1" t="s">
        <v>27</v>
      </c>
      <c r="E43" s="1" t="s">
        <v>1486</v>
      </c>
      <c r="F43" s="1" t="s">
        <v>1452</v>
      </c>
      <c r="G43" s="1" t="s">
        <v>28</v>
      </c>
      <c r="H43" s="1" t="s">
        <v>1555</v>
      </c>
      <c r="I43" s="1"/>
      <c r="J43" s="1"/>
      <c r="K43" s="1" t="s">
        <v>1444</v>
      </c>
      <c r="L43" s="1" t="s">
        <v>1525</v>
      </c>
      <c r="M43" s="1" t="s">
        <v>1556</v>
      </c>
      <c r="N43" s="1" t="s">
        <v>1557</v>
      </c>
    </row>
    <row r="44" spans="1:14" x14ac:dyDescent="0.25">
      <c r="A44" s="1" t="s">
        <v>1523</v>
      </c>
      <c r="B44" s="1" t="str">
        <f t="shared" si="0"/>
        <v>GalaCakegls09-mnz260c:162:0:5881::WrongAddressSpace</v>
      </c>
      <c r="C44" t="e">
        <f>VLOOKUP($B44, comment!$B$2:$C$401, 2, FALSE)</f>
        <v>#N/A</v>
      </c>
      <c r="D44" s="1" t="s">
        <v>1387</v>
      </c>
      <c r="E44" s="1" t="s">
        <v>1421</v>
      </c>
      <c r="F44" s="1" t="s">
        <v>1422</v>
      </c>
      <c r="G44" s="1" t="s">
        <v>1979</v>
      </c>
      <c r="H44" s="1" t="s">
        <v>1496</v>
      </c>
      <c r="I44" s="1"/>
      <c r="J44" s="1"/>
      <c r="K44" s="1" t="s">
        <v>1444</v>
      </c>
      <c r="L44" s="1" t="s">
        <v>1476</v>
      </c>
      <c r="M44" s="1"/>
      <c r="N44" s="1" t="s">
        <v>1558</v>
      </c>
    </row>
    <row r="45" spans="1:14" x14ac:dyDescent="0.25">
      <c r="A45" s="1" t="s">
        <v>1523</v>
      </c>
      <c r="B45" s="1" t="str">
        <f t="shared" si="0"/>
        <v>GalaCakegls10-gz0fd35:eef2:2500:0004::WrongAddressSpace</v>
      </c>
      <c r="C45" t="e">
        <f>VLOOKUP($B45, comment!$B$2:$C$401, 2, FALSE)</f>
        <v>#N/A</v>
      </c>
      <c r="D45" s="1" t="s">
        <v>1949</v>
      </c>
      <c r="E45" s="1" t="s">
        <v>1478</v>
      </c>
      <c r="F45" s="1" t="s">
        <v>1479</v>
      </c>
      <c r="G45" s="1" t="s">
        <v>1503</v>
      </c>
      <c r="H45" s="1" t="s">
        <v>1504</v>
      </c>
      <c r="I45" s="1"/>
      <c r="J45" s="1"/>
      <c r="K45" s="1" t="s">
        <v>1444</v>
      </c>
      <c r="L45" s="1" t="s">
        <v>1481</v>
      </c>
      <c r="M45" s="1" t="s">
        <v>1559</v>
      </c>
      <c r="N45" s="1" t="s">
        <v>1560</v>
      </c>
    </row>
    <row r="46" spans="1:14" x14ac:dyDescent="0.25">
      <c r="A46" s="1" t="s">
        <v>1523</v>
      </c>
      <c r="B46" s="1" t="str">
        <f t="shared" si="0"/>
        <v>GalaCakenam11-bn810.13.176.5WrongAddressSpace</v>
      </c>
      <c r="C46" t="e">
        <f>VLOOKUP($B46, comment!$B$2:$C$401, 2, FALSE)</f>
        <v>#N/A</v>
      </c>
      <c r="D46" s="1" t="s">
        <v>1083</v>
      </c>
      <c r="E46" s="1" t="s">
        <v>1561</v>
      </c>
      <c r="F46" s="1" t="s">
        <v>1976</v>
      </c>
      <c r="G46" s="1" t="s">
        <v>1977</v>
      </c>
      <c r="H46" s="1" t="s">
        <v>1562</v>
      </c>
      <c r="I46" s="1"/>
      <c r="J46" s="1"/>
      <c r="K46" s="1" t="s">
        <v>1444</v>
      </c>
      <c r="L46" s="1" t="s">
        <v>1525</v>
      </c>
      <c r="M46" s="1" t="s">
        <v>1563</v>
      </c>
      <c r="N46" s="1" t="s">
        <v>1564</v>
      </c>
    </row>
    <row r="47" spans="1:14" x14ac:dyDescent="0.25">
      <c r="A47" s="1" t="s">
        <v>1565</v>
      </c>
      <c r="B47" s="1" t="str">
        <f t="shared" si="0"/>
        <v>EXapac-hk110.24.152.17WrongAddressSpace</v>
      </c>
      <c r="C47" t="e">
        <f>VLOOKUP($B47, comment!$B$2:$C$401, 2, FALSE)</f>
        <v>#N/A</v>
      </c>
      <c r="D47" s="1" t="s">
        <v>356</v>
      </c>
      <c r="E47" s="1" t="s">
        <v>1524</v>
      </c>
      <c r="F47" s="1" t="s">
        <v>1527</v>
      </c>
      <c r="G47" s="1" t="s">
        <v>357</v>
      </c>
      <c r="H47" s="1" t="s">
        <v>1528</v>
      </c>
      <c r="I47" s="1"/>
      <c r="J47" s="1"/>
      <c r="K47" s="1" t="s">
        <v>1444</v>
      </c>
      <c r="L47" s="1" t="s">
        <v>1525</v>
      </c>
      <c r="M47" s="1" t="s">
        <v>1567</v>
      </c>
      <c r="N47" s="1" t="s">
        <v>1568</v>
      </c>
    </row>
    <row r="48" spans="1:14" x14ac:dyDescent="0.25">
      <c r="A48" s="1" t="s">
        <v>1565</v>
      </c>
      <c r="B48" s="1" t="str">
        <f t="shared" si="0"/>
        <v>EXapc01-hka20.128.57.148WrongAddressSpace</v>
      </c>
      <c r="C48" t="e">
        <f>VLOOKUP($B48, comment!$B$2:$C$401, 2, FALSE)</f>
        <v>#N/A</v>
      </c>
      <c r="D48" s="1" t="s">
        <v>1983</v>
      </c>
      <c r="E48" s="1" t="s">
        <v>1423</v>
      </c>
      <c r="F48" s="1" t="s">
        <v>1984</v>
      </c>
      <c r="G48" s="1" t="s">
        <v>1985</v>
      </c>
      <c r="H48" s="1" t="s">
        <v>1480</v>
      </c>
      <c r="I48" s="1"/>
      <c r="J48" s="1"/>
      <c r="K48" s="1" t="s">
        <v>1444</v>
      </c>
      <c r="L48" s="1" t="s">
        <v>1525</v>
      </c>
      <c r="M48" s="1"/>
      <c r="N48" s="1" t="s">
        <v>1566</v>
      </c>
    </row>
    <row r="49" spans="1:14" x14ac:dyDescent="0.25">
      <c r="A49" s="1" t="s">
        <v>1565</v>
      </c>
      <c r="B49" s="1" t="str">
        <f t="shared" si="0"/>
        <v>EXfunc-sn210.10.1.2WrongAddressSpace</v>
      </c>
      <c r="C49" t="e">
        <f>VLOOKUP($B49, comment!$B$2:$C$401, 2, FALSE)</f>
        <v>#N/A</v>
      </c>
      <c r="D49" s="1" t="s">
        <v>1986</v>
      </c>
      <c r="E49" s="1" t="s">
        <v>1531</v>
      </c>
      <c r="F49" s="1" t="s">
        <v>1487</v>
      </c>
      <c r="G49" s="1" t="s">
        <v>1987</v>
      </c>
      <c r="H49" s="1" t="s">
        <v>1572</v>
      </c>
      <c r="I49" s="1"/>
      <c r="J49" s="1"/>
      <c r="K49" s="1" t="s">
        <v>1444</v>
      </c>
      <c r="L49" s="1" t="s">
        <v>1525</v>
      </c>
      <c r="M49" s="1" t="s">
        <v>1573</v>
      </c>
      <c r="N49" s="1" t="s">
        <v>1574</v>
      </c>
    </row>
    <row r="50" spans="1:14" x14ac:dyDescent="0.25">
      <c r="A50" s="1" t="s">
        <v>1565</v>
      </c>
      <c r="B50" s="1" t="str">
        <f t="shared" si="0"/>
        <v>EXfsdf-by110.1.116.81WrongAddressSpace</v>
      </c>
      <c r="C50" t="e">
        <f>VLOOKUP($B50, comment!$B$2:$C$401, 2, FALSE)</f>
        <v>#N/A</v>
      </c>
      <c r="D50" s="1" t="s">
        <v>12</v>
      </c>
      <c r="E50" s="1" t="s">
        <v>1451</v>
      </c>
      <c r="F50" s="1" t="s">
        <v>1452</v>
      </c>
      <c r="G50" s="1" t="s">
        <v>13</v>
      </c>
      <c r="H50" s="1" t="s">
        <v>1569</v>
      </c>
      <c r="I50" s="1"/>
      <c r="J50" s="1"/>
      <c r="K50" s="1" t="s">
        <v>1444</v>
      </c>
      <c r="L50" s="1" t="s">
        <v>1525</v>
      </c>
      <c r="M50" s="1" t="s">
        <v>1570</v>
      </c>
      <c r="N50" s="1" t="s">
        <v>1571</v>
      </c>
    </row>
    <row r="51" spans="1:14" x14ac:dyDescent="0.25">
      <c r="A51" s="1" t="s">
        <v>1565</v>
      </c>
      <c r="B51" s="1" t="str">
        <f t="shared" si="0"/>
        <v>EXgtm-fsdf-by110.1.16.31WrongAddressSpace</v>
      </c>
      <c r="C51" t="e">
        <f>VLOOKUP($B51, comment!$B$2:$C$401, 2, FALSE)</f>
        <v>#N/A</v>
      </c>
      <c r="D51" s="1" t="s">
        <v>27</v>
      </c>
      <c r="E51" s="1" t="s">
        <v>1486</v>
      </c>
      <c r="F51" s="1" t="s">
        <v>1452</v>
      </c>
      <c r="G51" s="1" t="s">
        <v>28</v>
      </c>
      <c r="H51" s="1" t="s">
        <v>29</v>
      </c>
      <c r="I51" s="1"/>
      <c r="J51" s="1" t="s">
        <v>1575</v>
      </c>
      <c r="K51" s="1" t="s">
        <v>1444</v>
      </c>
      <c r="L51" s="1" t="s">
        <v>1525</v>
      </c>
      <c r="M51" s="1"/>
      <c r="N51" s="1" t="s">
        <v>1576</v>
      </c>
    </row>
    <row r="52" spans="1:14" x14ac:dyDescent="0.25">
      <c r="A52" s="1" t="s">
        <v>1565</v>
      </c>
      <c r="B52" s="1" t="str">
        <f t="shared" si="0"/>
        <v>EXgtm-fsdf-by110.1.16.31EmptyDatacenter</v>
      </c>
      <c r="C52" t="e">
        <f>VLOOKUP($B52, comment!$B$2:$C$401, 2, FALSE)</f>
        <v>#N/A</v>
      </c>
      <c r="D52" s="1" t="s">
        <v>27</v>
      </c>
      <c r="E52" s="1" t="s">
        <v>1486</v>
      </c>
      <c r="F52" s="1" t="s">
        <v>1452</v>
      </c>
      <c r="G52" s="1" t="s">
        <v>28</v>
      </c>
      <c r="H52" s="1" t="s">
        <v>29</v>
      </c>
      <c r="I52" s="1"/>
      <c r="J52" s="1" t="s">
        <v>1575</v>
      </c>
      <c r="K52" s="1" t="s">
        <v>31</v>
      </c>
      <c r="L52" s="1" t="s">
        <v>1450</v>
      </c>
      <c r="M52" s="1"/>
      <c r="N52" s="1" t="s">
        <v>1576</v>
      </c>
    </row>
    <row r="53" spans="1:14" x14ac:dyDescent="0.25">
      <c r="A53" s="1" t="s">
        <v>1565</v>
      </c>
      <c r="B53" s="1" t="str">
        <f t="shared" si="0"/>
        <v>EXgls09-mnz260c:162:0:5881::WrongAddressSpace</v>
      </c>
      <c r="C53" t="e">
        <f>VLOOKUP($B53, comment!$B$2:$C$401, 2, FALSE)</f>
        <v>#N/A</v>
      </c>
      <c r="D53" s="1" t="s">
        <v>1387</v>
      </c>
      <c r="E53" s="1" t="s">
        <v>1421</v>
      </c>
      <c r="F53" s="1" t="s">
        <v>1422</v>
      </c>
      <c r="G53" s="1" t="s">
        <v>1979</v>
      </c>
      <c r="H53" s="1" t="s">
        <v>1496</v>
      </c>
      <c r="I53" s="1"/>
      <c r="J53" s="1"/>
      <c r="K53" s="1" t="s">
        <v>1444</v>
      </c>
      <c r="L53" s="1" t="s">
        <v>1476</v>
      </c>
      <c r="M53" s="1"/>
      <c r="N53" s="1" t="s">
        <v>1577</v>
      </c>
    </row>
    <row r="54" spans="1:14" x14ac:dyDescent="0.25">
      <c r="A54" s="1" t="s">
        <v>1565</v>
      </c>
      <c r="B54" s="1" t="str">
        <f t="shared" si="0"/>
        <v>EXna-by210.1.238.4WrongAddressSpace</v>
      </c>
      <c r="C54" t="e">
        <f>VLOOKUP($B54, comment!$B$2:$C$401, 2, FALSE)</f>
        <v>#N/A</v>
      </c>
      <c r="D54" s="1" t="s">
        <v>990</v>
      </c>
      <c r="E54" s="1" t="s">
        <v>1578</v>
      </c>
      <c r="F54" s="1" t="s">
        <v>1579</v>
      </c>
      <c r="G54" s="1" t="s">
        <v>1580</v>
      </c>
      <c r="H54" s="1" t="s">
        <v>1581</v>
      </c>
      <c r="I54" s="1"/>
      <c r="J54" s="1"/>
      <c r="K54" s="1" t="s">
        <v>1444</v>
      </c>
      <c r="L54" s="1" t="s">
        <v>1525</v>
      </c>
      <c r="M54" s="1" t="s">
        <v>1582</v>
      </c>
      <c r="N54" s="1" t="s">
        <v>1583</v>
      </c>
    </row>
    <row r="55" spans="1:14" x14ac:dyDescent="0.25">
      <c r="A55" s="1" t="s">
        <v>1565</v>
      </c>
      <c r="B55" s="1" t="str">
        <f t="shared" si="0"/>
        <v>EXscn01-sh010.12.57.4WrongAddressSpace</v>
      </c>
      <c r="C55" t="e">
        <f>VLOOKUP($B55, comment!$B$2:$C$401, 2, FALSE)</f>
        <v>#N/A</v>
      </c>
      <c r="D55" s="1" t="s">
        <v>1398</v>
      </c>
      <c r="E55" s="1" t="s">
        <v>1512</v>
      </c>
      <c r="F55" s="1" t="s">
        <v>1448</v>
      </c>
      <c r="G55" s="1" t="s">
        <v>1399</v>
      </c>
      <c r="H55" s="1" t="s">
        <v>1587</v>
      </c>
      <c r="I55" s="1"/>
      <c r="J55" s="1"/>
      <c r="K55" s="1" t="s">
        <v>1444</v>
      </c>
      <c r="L55" s="1" t="s">
        <v>1445</v>
      </c>
      <c r="M55" s="1" t="s">
        <v>1588</v>
      </c>
      <c r="N55" s="1" t="s">
        <v>1589</v>
      </c>
    </row>
    <row r="56" spans="1:14" x14ac:dyDescent="0.25">
      <c r="A56" s="1" t="s">
        <v>1565</v>
      </c>
      <c r="B56" s="1" t="str">
        <f t="shared" si="0"/>
        <v>EXscn01-bjs10.10.57.132WrongAddressSpace</v>
      </c>
      <c r="C56" t="e">
        <f>VLOOKUP($B56, comment!$B$2:$C$401, 2, FALSE)</f>
        <v>#N/A</v>
      </c>
      <c r="D56" s="1" t="s">
        <v>1393</v>
      </c>
      <c r="E56" s="1" t="s">
        <v>1512</v>
      </c>
      <c r="F56" s="1" t="s">
        <v>1441</v>
      </c>
      <c r="G56" s="1" t="s">
        <v>1513</v>
      </c>
      <c r="H56" s="1" t="s">
        <v>1584</v>
      </c>
      <c r="I56" s="1"/>
      <c r="J56" s="1"/>
      <c r="K56" s="1" t="s">
        <v>1444</v>
      </c>
      <c r="L56" s="1" t="s">
        <v>1445</v>
      </c>
      <c r="M56" s="1" t="s">
        <v>1585</v>
      </c>
      <c r="N56" s="1" t="s">
        <v>1586</v>
      </c>
    </row>
    <row r="57" spans="1:14" x14ac:dyDescent="0.25">
      <c r="A57" s="1" t="s">
        <v>1386</v>
      </c>
      <c r="B57" s="1" t="str">
        <f t="shared" si="0"/>
        <v>RXapac-hk110.24.152.17WrongAddressSpace</v>
      </c>
      <c r="C57" t="e">
        <f>VLOOKUP($B57, comment!$B$2:$C$401, 2, FALSE)</f>
        <v>#N/A</v>
      </c>
      <c r="D57" s="1" t="s">
        <v>356</v>
      </c>
      <c r="E57" s="1" t="s">
        <v>1524</v>
      </c>
      <c r="F57" s="1" t="s">
        <v>1527</v>
      </c>
      <c r="G57" s="1" t="s">
        <v>357</v>
      </c>
      <c r="H57" s="1" t="s">
        <v>1528</v>
      </c>
      <c r="I57" s="1"/>
      <c r="J57" s="1"/>
      <c r="K57" s="1" t="s">
        <v>1444</v>
      </c>
      <c r="L57" s="1" t="s">
        <v>1525</v>
      </c>
      <c r="M57" s="1" t="s">
        <v>1567</v>
      </c>
      <c r="N57" s="1" t="s">
        <v>1591</v>
      </c>
    </row>
    <row r="58" spans="1:14" x14ac:dyDescent="0.25">
      <c r="A58" s="1" t="s">
        <v>1386</v>
      </c>
      <c r="B58" s="1" t="str">
        <f t="shared" si="0"/>
        <v>RXapc01-hka20.128.57.148WrongAddressSpace</v>
      </c>
      <c r="C58" t="e">
        <f>VLOOKUP($B58, comment!$B$2:$C$401, 2, FALSE)</f>
        <v>#N/A</v>
      </c>
      <c r="D58" s="1" t="s">
        <v>1983</v>
      </c>
      <c r="E58" s="1" t="s">
        <v>1423</v>
      </c>
      <c r="F58" s="1" t="s">
        <v>1984</v>
      </c>
      <c r="G58" s="1" t="s">
        <v>1985</v>
      </c>
      <c r="H58" s="1" t="s">
        <v>1480</v>
      </c>
      <c r="I58" s="1"/>
      <c r="J58" s="1"/>
      <c r="K58" s="1" t="s">
        <v>1444</v>
      </c>
      <c r="L58" s="1" t="s">
        <v>1525</v>
      </c>
      <c r="M58" s="1"/>
      <c r="N58" s="1" t="s">
        <v>1590</v>
      </c>
    </row>
    <row r="59" spans="1:14" x14ac:dyDescent="0.25">
      <c r="A59" s="1" t="s">
        <v>1386</v>
      </c>
      <c r="B59" s="1" t="str">
        <f t="shared" si="0"/>
        <v>RXfunc-sn210.10.1.2WrongAddressSpace</v>
      </c>
      <c r="C59" t="e">
        <f>VLOOKUP($B59, comment!$B$2:$C$401, 2, FALSE)</f>
        <v>#N/A</v>
      </c>
      <c r="D59" s="1" t="s">
        <v>1986</v>
      </c>
      <c r="E59" s="1" t="s">
        <v>1531</v>
      </c>
      <c r="F59" s="1" t="s">
        <v>1487</v>
      </c>
      <c r="G59" s="1" t="s">
        <v>1987</v>
      </c>
      <c r="H59" s="1" t="s">
        <v>1597</v>
      </c>
      <c r="I59" s="1"/>
      <c r="J59" s="1"/>
      <c r="K59" s="1" t="s">
        <v>1444</v>
      </c>
      <c r="L59" s="1" t="s">
        <v>1525</v>
      </c>
      <c r="M59" s="1" t="s">
        <v>1598</v>
      </c>
      <c r="N59" s="1" t="s">
        <v>1599</v>
      </c>
    </row>
    <row r="60" spans="1:14" x14ac:dyDescent="0.25">
      <c r="A60" s="1" t="s">
        <v>1386</v>
      </c>
      <c r="B60" s="1" t="str">
        <f t="shared" si="0"/>
        <v>RXfsdf-by110.1.116.81WrongAddressSpace</v>
      </c>
      <c r="C60" t="e">
        <f>VLOOKUP($B60, comment!$B$2:$C$401, 2, FALSE)</f>
        <v>#N/A</v>
      </c>
      <c r="D60" s="1" t="s">
        <v>12</v>
      </c>
      <c r="E60" s="1" t="s">
        <v>1451</v>
      </c>
      <c r="F60" s="1" t="s">
        <v>1452</v>
      </c>
      <c r="G60" s="1" t="s">
        <v>13</v>
      </c>
      <c r="H60" s="1" t="s">
        <v>1592</v>
      </c>
      <c r="I60" s="1" t="s">
        <v>1593</v>
      </c>
      <c r="J60" s="1" t="s">
        <v>1594</v>
      </c>
      <c r="K60" s="1" t="s">
        <v>1444</v>
      </c>
      <c r="L60" s="1" t="s">
        <v>1525</v>
      </c>
      <c r="M60" s="1" t="s">
        <v>1595</v>
      </c>
      <c r="N60" s="1" t="s">
        <v>1596</v>
      </c>
    </row>
    <row r="61" spans="1:14" x14ac:dyDescent="0.25">
      <c r="A61" s="1" t="s">
        <v>1386</v>
      </c>
      <c r="B61" s="1" t="str">
        <f t="shared" si="0"/>
        <v>RXgtm-fsdf-by110.1.16.31WrongAddressSpace</v>
      </c>
      <c r="C61" t="e">
        <f>VLOOKUP($B61, comment!$B$2:$C$401, 2, FALSE)</f>
        <v>#N/A</v>
      </c>
      <c r="D61" s="1" t="s">
        <v>27</v>
      </c>
      <c r="E61" s="1" t="s">
        <v>1486</v>
      </c>
      <c r="F61" s="1" t="s">
        <v>1452</v>
      </c>
      <c r="G61" s="1" t="s">
        <v>28</v>
      </c>
      <c r="H61" s="1" t="s">
        <v>29</v>
      </c>
      <c r="I61" s="1"/>
      <c r="J61" s="1" t="s">
        <v>1594</v>
      </c>
      <c r="K61" s="1" t="s">
        <v>1444</v>
      </c>
      <c r="L61" s="1" t="s">
        <v>1525</v>
      </c>
      <c r="M61" s="1"/>
      <c r="N61" s="1" t="s">
        <v>1600</v>
      </c>
    </row>
    <row r="62" spans="1:14" x14ac:dyDescent="0.25">
      <c r="A62" s="1" t="s">
        <v>1386</v>
      </c>
      <c r="B62" s="1" t="str">
        <f t="shared" si="0"/>
        <v>RXgtm-fsdf-by110.1.16.31EmptyDatacenter</v>
      </c>
      <c r="C62" t="e">
        <f>VLOOKUP($B62, comment!$B$2:$C$401, 2, FALSE)</f>
        <v>#N/A</v>
      </c>
      <c r="D62" s="1" t="s">
        <v>27</v>
      </c>
      <c r="E62" s="1" t="s">
        <v>1486</v>
      </c>
      <c r="F62" s="1" t="s">
        <v>1452</v>
      </c>
      <c r="G62" s="1" t="s">
        <v>28</v>
      </c>
      <c r="H62" s="1" t="s">
        <v>29</v>
      </c>
      <c r="I62" s="1"/>
      <c r="J62" s="1" t="s">
        <v>1594</v>
      </c>
      <c r="K62" s="1" t="s">
        <v>31</v>
      </c>
      <c r="L62" s="1" t="s">
        <v>1450</v>
      </c>
      <c r="M62" s="1"/>
      <c r="N62" s="1" t="s">
        <v>1600</v>
      </c>
    </row>
    <row r="63" spans="1:14" x14ac:dyDescent="0.25">
      <c r="A63" s="1" t="s">
        <v>1386</v>
      </c>
      <c r="B63" s="1" t="str">
        <f t="shared" si="0"/>
        <v>RXgls10-gz0260f:d200:3:5080::WrongAddressSpace</v>
      </c>
      <c r="C63" t="e">
        <f>VLOOKUP($B63, comment!$B$2:$C$401, 2, FALSE)</f>
        <v>#N/A</v>
      </c>
      <c r="D63" s="1" t="s">
        <v>1949</v>
      </c>
      <c r="E63" s="1" t="s">
        <v>1478</v>
      </c>
      <c r="F63" s="1" t="s">
        <v>1479</v>
      </c>
      <c r="G63" s="1" t="s">
        <v>1980</v>
      </c>
      <c r="H63" s="1" t="s">
        <v>1496</v>
      </c>
      <c r="I63" s="1"/>
      <c r="J63" s="1"/>
      <c r="K63" s="1" t="s">
        <v>1444</v>
      </c>
      <c r="L63" s="1" t="s">
        <v>1481</v>
      </c>
      <c r="M63" s="1"/>
      <c r="N63" s="1" t="s">
        <v>1601</v>
      </c>
    </row>
    <row r="64" spans="1:14" x14ac:dyDescent="0.25">
      <c r="A64" s="1" t="s">
        <v>1386</v>
      </c>
      <c r="B64" s="1" t="str">
        <f t="shared" si="0"/>
        <v>RXna-by210.1.238.4WrongAddressSpace</v>
      </c>
      <c r="C64" t="e">
        <f>VLOOKUP($B64, comment!$B$2:$C$401, 2, FALSE)</f>
        <v>#N/A</v>
      </c>
      <c r="D64" s="1" t="s">
        <v>990</v>
      </c>
      <c r="E64" s="1" t="s">
        <v>1578</v>
      </c>
      <c r="F64" s="1" t="s">
        <v>1579</v>
      </c>
      <c r="G64" s="1" t="s">
        <v>1580</v>
      </c>
      <c r="H64" s="1" t="s">
        <v>1581</v>
      </c>
      <c r="I64" s="1"/>
      <c r="J64" s="1"/>
      <c r="K64" s="1" t="s">
        <v>1444</v>
      </c>
      <c r="L64" s="1" t="s">
        <v>1525</v>
      </c>
      <c r="M64" s="1" t="s">
        <v>1602</v>
      </c>
      <c r="N64" s="1" t="s">
        <v>1603</v>
      </c>
    </row>
    <row r="65" spans="1:14" x14ac:dyDescent="0.25">
      <c r="A65" s="1" t="s">
        <v>1386</v>
      </c>
      <c r="B65" s="1" t="str">
        <f t="shared" si="0"/>
        <v>RXnam11-bn810.13.176.5WrongAddressSpace</v>
      </c>
      <c r="C65" t="e">
        <f>VLOOKUP($B65, comment!$B$2:$C$401, 2, FALSE)</f>
        <v>#N/A</v>
      </c>
      <c r="D65" s="1" t="s">
        <v>1083</v>
      </c>
      <c r="E65" s="1" t="s">
        <v>1561</v>
      </c>
      <c r="F65" s="1" t="s">
        <v>1976</v>
      </c>
      <c r="G65" s="1" t="s">
        <v>1977</v>
      </c>
      <c r="H65" s="1" t="s">
        <v>1562</v>
      </c>
      <c r="I65" s="1"/>
      <c r="J65" s="1" t="s">
        <v>1604</v>
      </c>
      <c r="K65" s="1" t="s">
        <v>1444</v>
      </c>
      <c r="L65" s="1" t="s">
        <v>1525</v>
      </c>
      <c r="M65" s="1" t="s">
        <v>1605</v>
      </c>
      <c r="N65" s="1" t="s">
        <v>1606</v>
      </c>
    </row>
    <row r="66" spans="1:14" x14ac:dyDescent="0.25">
      <c r="A66" s="1" t="s">
        <v>1386</v>
      </c>
      <c r="B66" s="1" t="str">
        <f t="shared" ref="B66:B129" si="1">A66&amp;D66&amp;G66&amp;K66</f>
        <v>RXscn01-sh010.12.57.4WrongAddressSpace</v>
      </c>
      <c r="C66" t="e">
        <f>VLOOKUP($B66, comment!$B$2:$C$401, 2, FALSE)</f>
        <v>#N/A</v>
      </c>
      <c r="D66" s="1" t="s">
        <v>1398</v>
      </c>
      <c r="E66" s="1" t="s">
        <v>1512</v>
      </c>
      <c r="F66" s="1" t="s">
        <v>1448</v>
      </c>
      <c r="G66" s="1" t="s">
        <v>1399</v>
      </c>
      <c r="H66" s="1" t="s">
        <v>1587</v>
      </c>
      <c r="I66" s="1"/>
      <c r="J66" s="1"/>
      <c r="K66" s="1" t="s">
        <v>1444</v>
      </c>
      <c r="L66" s="1" t="s">
        <v>1445</v>
      </c>
      <c r="M66" s="1" t="s">
        <v>1607</v>
      </c>
      <c r="N66" s="1" t="s">
        <v>1608</v>
      </c>
    </row>
    <row r="67" spans="1:14" x14ac:dyDescent="0.25">
      <c r="A67" s="1" t="s">
        <v>10</v>
      </c>
      <c r="B67" s="1" t="str">
        <f t="shared" si="1"/>
        <v>Defaultgls09-sn8fd57:efb3:2500:0004::WrongAddressSpace</v>
      </c>
      <c r="C67" t="e">
        <f>VLOOKUP($B67, comment!$B$2:$C$401, 2, FALSE)</f>
        <v>#N/A</v>
      </c>
      <c r="D67" s="1" t="s">
        <v>1948</v>
      </c>
      <c r="E67" s="1" t="s">
        <v>1421</v>
      </c>
      <c r="F67" s="1" t="s">
        <v>1484</v>
      </c>
      <c r="G67" s="1" t="s">
        <v>1988</v>
      </c>
      <c r="H67" s="1" t="s">
        <v>1609</v>
      </c>
      <c r="I67" s="1"/>
      <c r="J67" s="1"/>
      <c r="K67" s="1" t="s">
        <v>1444</v>
      </c>
      <c r="L67" s="1" t="s">
        <v>1476</v>
      </c>
      <c r="M67" s="1" t="s">
        <v>1610</v>
      </c>
      <c r="N67" s="1" t="s">
        <v>1611</v>
      </c>
    </row>
    <row r="68" spans="1:14" x14ac:dyDescent="0.25">
      <c r="A68" s="1" t="s">
        <v>10</v>
      </c>
      <c r="B68" s="1" t="str">
        <f t="shared" si="1"/>
        <v>Defaultgls07-cy110.40.114.0EmptyDatacenter</v>
      </c>
      <c r="C68" t="e">
        <f>VLOOKUP($B68, comment!$B$2:$C$401, 2, FALSE)</f>
        <v>#N/A</v>
      </c>
      <c r="D68" s="1" t="s">
        <v>917</v>
      </c>
      <c r="E68" s="1" t="s">
        <v>1470</v>
      </c>
      <c r="F68" s="1" t="s">
        <v>1471</v>
      </c>
      <c r="G68" s="1" t="s">
        <v>925</v>
      </c>
      <c r="H68" s="1" t="s">
        <v>926</v>
      </c>
      <c r="I68" s="1"/>
      <c r="J68" s="1" t="s">
        <v>350</v>
      </c>
      <c r="K68" s="1" t="s">
        <v>31</v>
      </c>
      <c r="L68" s="1" t="s">
        <v>1450</v>
      </c>
      <c r="M68" s="1" t="s">
        <v>664</v>
      </c>
      <c r="N68" s="1" t="s">
        <v>1612</v>
      </c>
    </row>
    <row r="69" spans="1:14" x14ac:dyDescent="0.25">
      <c r="A69" s="1" t="s">
        <v>10</v>
      </c>
      <c r="B69" s="1" t="str">
        <f t="shared" si="1"/>
        <v>Defaultgls09-mnz10.40.136.16WrongAddressSpace</v>
      </c>
      <c r="C69" t="e">
        <f>VLOOKUP($B69, comment!$B$2:$C$401, 2, FALSE)</f>
        <v>#N/A</v>
      </c>
      <c r="D69" s="1" t="s">
        <v>1387</v>
      </c>
      <c r="E69" s="1" t="s">
        <v>1421</v>
      </c>
      <c r="F69" s="1" t="s">
        <v>1422</v>
      </c>
      <c r="G69" s="1" t="s">
        <v>1619</v>
      </c>
      <c r="H69" s="1" t="s">
        <v>1620</v>
      </c>
      <c r="I69" s="1" t="s">
        <v>1016</v>
      </c>
      <c r="J69" s="1" t="s">
        <v>171</v>
      </c>
      <c r="K69" s="1" t="s">
        <v>1444</v>
      </c>
      <c r="L69" s="1" t="s">
        <v>1476</v>
      </c>
      <c r="M69" s="1" t="s">
        <v>1621</v>
      </c>
      <c r="N69" s="1" t="s">
        <v>1622</v>
      </c>
    </row>
    <row r="70" spans="1:14" x14ac:dyDescent="0.25">
      <c r="A70" s="1" t="s">
        <v>10</v>
      </c>
      <c r="B70" s="1" t="str">
        <f t="shared" si="1"/>
        <v>Defaultgls10-rz02001:489a:203:51::WrongAddressSpace</v>
      </c>
      <c r="C70" t="e">
        <f>VLOOKUP($B70, comment!$B$2:$C$401, 2, FALSE)</f>
        <v>#N/A</v>
      </c>
      <c r="D70" s="1" t="s">
        <v>1951</v>
      </c>
      <c r="E70" s="1" t="s">
        <v>1478</v>
      </c>
      <c r="F70" s="1" t="s">
        <v>1498</v>
      </c>
      <c r="G70" s="1" t="s">
        <v>1613</v>
      </c>
      <c r="H70" s="1" t="s">
        <v>1614</v>
      </c>
      <c r="I70" s="1"/>
      <c r="J70" s="1"/>
      <c r="K70" s="1" t="s">
        <v>1444</v>
      </c>
      <c r="L70" s="1" t="s">
        <v>1481</v>
      </c>
      <c r="M70" s="1" t="s">
        <v>1615</v>
      </c>
      <c r="N70" s="1" t="s">
        <v>1616</v>
      </c>
    </row>
    <row r="71" spans="1:14" x14ac:dyDescent="0.25">
      <c r="A71" s="1" t="s">
        <v>1523</v>
      </c>
      <c r="B71" s="1" t="str">
        <f t="shared" si="1"/>
        <v>GalaCakegallatin-w15-bjb10.41.2.23Obsolete</v>
      </c>
      <c r="C71" t="e">
        <f>VLOOKUP($B71, comment!$B$2:$C$401, 2, FALSE)</f>
        <v>#N/A</v>
      </c>
      <c r="D71" s="1" t="s">
        <v>1379</v>
      </c>
      <c r="E71" s="1" t="s">
        <v>1420</v>
      </c>
      <c r="F71" s="1" t="s">
        <v>1418</v>
      </c>
      <c r="G71" s="1" t="s">
        <v>1626</v>
      </c>
      <c r="H71" s="1" t="s">
        <v>1627</v>
      </c>
      <c r="I71" s="1" t="s">
        <v>1545</v>
      </c>
      <c r="J71" s="1" t="s">
        <v>1546</v>
      </c>
      <c r="K71" s="1" t="s">
        <v>39</v>
      </c>
      <c r="L71" s="1" t="s">
        <v>40</v>
      </c>
      <c r="M71" s="1"/>
      <c r="N71" s="1" t="s">
        <v>1628</v>
      </c>
    </row>
    <row r="72" spans="1:14" x14ac:dyDescent="0.25">
      <c r="A72" s="1" t="s">
        <v>1523</v>
      </c>
      <c r="B72" s="1" t="str">
        <f t="shared" si="1"/>
        <v>GalaCakegallatin-w15-sha10.41.194.23Obsolete</v>
      </c>
      <c r="C72" t="e">
        <f>VLOOKUP($B72, comment!$B$2:$C$401, 2, FALSE)</f>
        <v>#N/A</v>
      </c>
      <c r="D72" s="1" t="s">
        <v>1380</v>
      </c>
      <c r="E72" s="1" t="s">
        <v>1420</v>
      </c>
      <c r="F72" s="1" t="s">
        <v>1455</v>
      </c>
      <c r="G72" s="1" t="s">
        <v>1623</v>
      </c>
      <c r="H72" s="1" t="s">
        <v>1624</v>
      </c>
      <c r="I72" s="1" t="s">
        <v>1549</v>
      </c>
      <c r="J72" s="1" t="s">
        <v>1550</v>
      </c>
      <c r="K72" s="1" t="s">
        <v>39</v>
      </c>
      <c r="L72" s="1" t="s">
        <v>40</v>
      </c>
      <c r="M72" s="1"/>
      <c r="N72" s="1" t="s">
        <v>1625</v>
      </c>
    </row>
    <row r="73" spans="1:14" x14ac:dyDescent="0.25">
      <c r="A73" s="1" t="s">
        <v>1523</v>
      </c>
      <c r="B73" s="1" t="str">
        <f t="shared" si="1"/>
        <v>GalaCakegls09-mnz10.40.136.16WrongAddressSpace</v>
      </c>
      <c r="C73" t="e">
        <f>VLOOKUP($B73, comment!$B$2:$C$401, 2, FALSE)</f>
        <v>#N/A</v>
      </c>
      <c r="D73" s="1" t="s">
        <v>1387</v>
      </c>
      <c r="E73" s="1" t="s">
        <v>1421</v>
      </c>
      <c r="F73" s="1" t="s">
        <v>1422</v>
      </c>
      <c r="G73" s="1" t="s">
        <v>1619</v>
      </c>
      <c r="H73" s="1" t="s">
        <v>1629</v>
      </c>
      <c r="I73" s="1" t="s">
        <v>1549</v>
      </c>
      <c r="J73" s="1" t="s">
        <v>1550</v>
      </c>
      <c r="K73" s="1" t="s">
        <v>1444</v>
      </c>
      <c r="L73" s="1" t="s">
        <v>1476</v>
      </c>
      <c r="M73" s="1" t="s">
        <v>1630</v>
      </c>
      <c r="N73" s="1" t="s">
        <v>1631</v>
      </c>
    </row>
    <row r="74" spans="1:14" x14ac:dyDescent="0.25">
      <c r="A74" s="1" t="s">
        <v>1523</v>
      </c>
      <c r="B74" s="1" t="str">
        <f t="shared" si="1"/>
        <v>GalaCakegls09-mnz10.40.136.16MismatchedDcName</v>
      </c>
      <c r="C74" t="e">
        <f>VLOOKUP($B74, comment!$B$2:$C$401, 2, FALSE)</f>
        <v>#N/A</v>
      </c>
      <c r="D74" s="1" t="s">
        <v>1387</v>
      </c>
      <c r="E74" s="1" t="s">
        <v>1421</v>
      </c>
      <c r="F74" s="1" t="s">
        <v>1422</v>
      </c>
      <c r="G74" s="1" t="s">
        <v>1619</v>
      </c>
      <c r="H74" s="1" t="s">
        <v>1629</v>
      </c>
      <c r="I74" s="1" t="s">
        <v>1549</v>
      </c>
      <c r="J74" s="1" t="s">
        <v>1550</v>
      </c>
      <c r="K74" s="1" t="s">
        <v>17</v>
      </c>
      <c r="L74" s="1" t="s">
        <v>1978</v>
      </c>
      <c r="M74" s="1" t="s">
        <v>1630</v>
      </c>
      <c r="N74" s="1" t="s">
        <v>1631</v>
      </c>
    </row>
    <row r="75" spans="1:14" x14ac:dyDescent="0.25">
      <c r="A75" s="1" t="s">
        <v>10</v>
      </c>
      <c r="B75" s="1" t="str">
        <f t="shared" si="1"/>
        <v>Defaultapc01-pu125.152.252.5InvalidRegion</v>
      </c>
      <c r="C75" t="e">
        <f>VLOOKUP($B75, comment!$B$2:$C$401, 2, FALSE)</f>
        <v>#N/A</v>
      </c>
      <c r="D75" s="1" t="s">
        <v>1946</v>
      </c>
      <c r="E75" s="1" t="s">
        <v>1423</v>
      </c>
      <c r="F75" s="1" t="s">
        <v>1424</v>
      </c>
      <c r="G75" s="1" t="s">
        <v>1632</v>
      </c>
      <c r="H75" s="1" t="s">
        <v>1633</v>
      </c>
      <c r="I75" s="1" t="s">
        <v>968</v>
      </c>
      <c r="J75" s="1" t="s">
        <v>1264</v>
      </c>
      <c r="K75" s="1" t="s">
        <v>1427</v>
      </c>
      <c r="L75" s="1" t="s">
        <v>1940</v>
      </c>
      <c r="M75" s="1" t="s">
        <v>1634</v>
      </c>
      <c r="N75" s="1" t="s">
        <v>1635</v>
      </c>
    </row>
    <row r="76" spans="1:14" x14ac:dyDescent="0.25">
      <c r="A76" s="1" t="s">
        <v>10</v>
      </c>
      <c r="B76" s="1" t="str">
        <f t="shared" si="1"/>
        <v>Defaultaus01-sy325.152.234.5DubiousTitle</v>
      </c>
      <c r="C76" t="e">
        <f>VLOOKUP($B76, comment!$B$2:$C$401, 2, FALSE)</f>
        <v>#N/A</v>
      </c>
      <c r="D76" s="1" t="s">
        <v>43</v>
      </c>
      <c r="E76" s="1" t="s">
        <v>1432</v>
      </c>
      <c r="F76" s="1" t="s">
        <v>1433</v>
      </c>
      <c r="G76" s="1" t="s">
        <v>534</v>
      </c>
      <c r="H76" s="1" t="s">
        <v>535</v>
      </c>
      <c r="I76" s="1" t="s">
        <v>46</v>
      </c>
      <c r="J76" s="1" t="s">
        <v>47</v>
      </c>
      <c r="K76" s="1" t="s">
        <v>1964</v>
      </c>
      <c r="L76" s="1" t="s">
        <v>1969</v>
      </c>
      <c r="M76" s="1" t="s">
        <v>1434</v>
      </c>
      <c r="N76" s="1" t="s">
        <v>1636</v>
      </c>
    </row>
    <row r="77" spans="1:14" x14ac:dyDescent="0.25">
      <c r="A77" s="1" t="s">
        <v>10</v>
      </c>
      <c r="B77" s="1" t="str">
        <f t="shared" si="1"/>
        <v>Defaultgallatin-w15-bjb10.41.28.36WrongAddressSpace</v>
      </c>
      <c r="C77" t="e">
        <f>VLOOKUP($B77, comment!$B$2:$C$401, 2, FALSE)</f>
        <v>#N/A</v>
      </c>
      <c r="D77" s="1" t="s">
        <v>1379</v>
      </c>
      <c r="E77" s="1" t="s">
        <v>1420</v>
      </c>
      <c r="F77" s="1" t="s">
        <v>1418</v>
      </c>
      <c r="G77" s="1" t="s">
        <v>1641</v>
      </c>
      <c r="H77" s="1" t="s">
        <v>1642</v>
      </c>
      <c r="I77" s="1" t="s">
        <v>1643</v>
      </c>
      <c r="J77" s="1" t="s">
        <v>1644</v>
      </c>
      <c r="K77" s="1" t="s">
        <v>1444</v>
      </c>
      <c r="L77" s="1" t="s">
        <v>1445</v>
      </c>
      <c r="M77" s="1" t="s">
        <v>1645</v>
      </c>
      <c r="N77" s="1" t="s">
        <v>1646</v>
      </c>
    </row>
    <row r="78" spans="1:14" x14ac:dyDescent="0.25">
      <c r="A78" s="1" t="s">
        <v>10</v>
      </c>
      <c r="B78" s="1" t="str">
        <f t="shared" si="1"/>
        <v>Defaultgallatin-w15-sha10.41.220.36WrongAddressSpace</v>
      </c>
      <c r="C78" t="e">
        <f>VLOOKUP($B78, comment!$B$2:$C$401, 2, FALSE)</f>
        <v>#N/A</v>
      </c>
      <c r="D78" s="1" t="s">
        <v>1380</v>
      </c>
      <c r="E78" s="1" t="s">
        <v>1420</v>
      </c>
      <c r="F78" s="1" t="s">
        <v>1455</v>
      </c>
      <c r="G78" s="1" t="s">
        <v>1637</v>
      </c>
      <c r="H78" s="1" t="s">
        <v>1638</v>
      </c>
      <c r="I78" s="1"/>
      <c r="J78" s="1"/>
      <c r="K78" s="1" t="s">
        <v>1444</v>
      </c>
      <c r="L78" s="1" t="s">
        <v>1445</v>
      </c>
      <c r="M78" s="1" t="s">
        <v>1639</v>
      </c>
      <c r="N78" s="1" t="s">
        <v>1640</v>
      </c>
    </row>
    <row r="79" spans="1:14" x14ac:dyDescent="0.25">
      <c r="A79" s="1" t="s">
        <v>10</v>
      </c>
      <c r="B79" s="1" t="str">
        <f t="shared" si="1"/>
        <v>Defaultgls06-fra25.157.152.5DubiousTitle</v>
      </c>
      <c r="C79" t="e">
        <f>VLOOKUP($B79, comment!$B$2:$C$401, 2, FALSE)</f>
        <v>#N/A</v>
      </c>
      <c r="D79" s="1" t="s">
        <v>892</v>
      </c>
      <c r="E79" s="1" t="s">
        <v>1466</v>
      </c>
      <c r="F79" s="1" t="s">
        <v>1467</v>
      </c>
      <c r="G79" s="1" t="s">
        <v>899</v>
      </c>
      <c r="H79" s="1" t="s">
        <v>900</v>
      </c>
      <c r="I79" s="1" t="s">
        <v>895</v>
      </c>
      <c r="J79" s="1" t="s">
        <v>896</v>
      </c>
      <c r="K79" s="1" t="s">
        <v>1964</v>
      </c>
      <c r="L79" s="1" t="s">
        <v>1969</v>
      </c>
      <c r="M79" s="1" t="s">
        <v>1468</v>
      </c>
      <c r="N79" s="1" t="s">
        <v>1647</v>
      </c>
    </row>
    <row r="80" spans="1:14" x14ac:dyDescent="0.25">
      <c r="A80" s="1" t="s">
        <v>10</v>
      </c>
      <c r="B80" s="1" t="str">
        <f t="shared" si="1"/>
        <v>Defaultgls06-lej25.157.154.5DubiousTitle</v>
      </c>
      <c r="C80" t="e">
        <f>VLOOKUP($B80, comment!$B$2:$C$401, 2, FALSE)</f>
        <v>#N/A</v>
      </c>
      <c r="D80" s="1" t="s">
        <v>901</v>
      </c>
      <c r="E80" s="1" t="s">
        <v>1466</v>
      </c>
      <c r="F80" s="1" t="s">
        <v>1473</v>
      </c>
      <c r="G80" s="1" t="s">
        <v>915</v>
      </c>
      <c r="H80" s="1" t="s">
        <v>916</v>
      </c>
      <c r="I80" s="1" t="s">
        <v>775</v>
      </c>
      <c r="J80" s="1" t="s">
        <v>776</v>
      </c>
      <c r="K80" s="1" t="s">
        <v>1964</v>
      </c>
      <c r="L80" s="1" t="s">
        <v>1969</v>
      </c>
      <c r="M80" s="1" t="s">
        <v>1474</v>
      </c>
      <c r="N80" s="1" t="s">
        <v>1648</v>
      </c>
    </row>
    <row r="81" spans="1:14" x14ac:dyDescent="0.25">
      <c r="A81" s="1" t="s">
        <v>10</v>
      </c>
      <c r="B81" s="1" t="str">
        <f t="shared" si="1"/>
        <v>Defaultgls09-sn810.40.200.16WrongAddressSpace</v>
      </c>
      <c r="C81" t="e">
        <f>VLOOKUP($B81, comment!$B$2:$C$401, 2, FALSE)</f>
        <v>#N/A</v>
      </c>
      <c r="D81" s="1" t="s">
        <v>1948</v>
      </c>
      <c r="E81" s="1" t="s">
        <v>1421</v>
      </c>
      <c r="F81" s="1" t="s">
        <v>1484</v>
      </c>
      <c r="G81" s="1" t="s">
        <v>1650</v>
      </c>
      <c r="H81" s="1" t="s">
        <v>1651</v>
      </c>
      <c r="I81" s="1"/>
      <c r="J81" s="1" t="s">
        <v>1652</v>
      </c>
      <c r="K81" s="1" t="s">
        <v>1444</v>
      </c>
      <c r="L81" s="1" t="s">
        <v>1476</v>
      </c>
      <c r="M81" s="1" t="s">
        <v>1653</v>
      </c>
      <c r="N81" s="1" t="s">
        <v>1654</v>
      </c>
    </row>
    <row r="82" spans="1:14" x14ac:dyDescent="0.25">
      <c r="A82" s="1" t="s">
        <v>10</v>
      </c>
      <c r="B82" s="1" t="str">
        <f t="shared" si="1"/>
        <v>Defaultgls07-cy123.103.191.32EmptyDatacenter</v>
      </c>
      <c r="C82" t="e">
        <f>VLOOKUP($B82, comment!$B$2:$C$401, 2, FALSE)</f>
        <v>#N/A</v>
      </c>
      <c r="D82" s="1" t="s">
        <v>917</v>
      </c>
      <c r="E82" s="1" t="s">
        <v>1470</v>
      </c>
      <c r="F82" s="1" t="s">
        <v>1471</v>
      </c>
      <c r="G82" s="1" t="s">
        <v>931</v>
      </c>
      <c r="H82" s="1" t="s">
        <v>932</v>
      </c>
      <c r="I82" s="1"/>
      <c r="J82" s="1" t="s">
        <v>350</v>
      </c>
      <c r="K82" s="1" t="s">
        <v>31</v>
      </c>
      <c r="L82" s="1" t="s">
        <v>1450</v>
      </c>
      <c r="M82" s="1" t="s">
        <v>664</v>
      </c>
      <c r="N82" s="1" t="s">
        <v>1655</v>
      </c>
    </row>
    <row r="83" spans="1:14" x14ac:dyDescent="0.25">
      <c r="A83" s="1" t="s">
        <v>10</v>
      </c>
      <c r="B83" s="1" t="str">
        <f t="shared" si="1"/>
        <v>Defaultscn01-bjs10.10.0.0WrongAddressSpace</v>
      </c>
      <c r="C83" t="e">
        <f>VLOOKUP($B83, comment!$B$2:$C$401, 2, FALSE)</f>
        <v>#N/A</v>
      </c>
      <c r="D83" s="1" t="s">
        <v>1393</v>
      </c>
      <c r="E83" s="1" t="s">
        <v>1512</v>
      </c>
      <c r="F83" s="1" t="s">
        <v>1441</v>
      </c>
      <c r="G83" s="1" t="s">
        <v>1394</v>
      </c>
      <c r="H83" s="1" t="s">
        <v>1395</v>
      </c>
      <c r="I83" s="1" t="s">
        <v>72</v>
      </c>
      <c r="J83" s="1" t="s">
        <v>73</v>
      </c>
      <c r="K83" s="1" t="s">
        <v>1444</v>
      </c>
      <c r="L83" s="1" t="s">
        <v>1445</v>
      </c>
      <c r="M83" s="1" t="s">
        <v>1397</v>
      </c>
      <c r="N83" s="1" t="s">
        <v>1656</v>
      </c>
    </row>
    <row r="84" spans="1:14" x14ac:dyDescent="0.25">
      <c r="A84" s="1" t="s">
        <v>10</v>
      </c>
      <c r="B84" s="1" t="str">
        <f t="shared" si="1"/>
        <v>Defaultscn01-bjs10.10.0.0MismatchedDcName</v>
      </c>
      <c r="C84" t="e">
        <f>VLOOKUP($B84, comment!$B$2:$C$401, 2, FALSE)</f>
        <v>#N/A</v>
      </c>
      <c r="D84" s="1" t="s">
        <v>1393</v>
      </c>
      <c r="E84" s="1" t="s">
        <v>1512</v>
      </c>
      <c r="F84" s="1" t="s">
        <v>1441</v>
      </c>
      <c r="G84" s="1" t="s">
        <v>1394</v>
      </c>
      <c r="H84" s="1" t="s">
        <v>1395</v>
      </c>
      <c r="I84" s="1" t="s">
        <v>72</v>
      </c>
      <c r="J84" s="1" t="s">
        <v>73</v>
      </c>
      <c r="K84" s="1" t="s">
        <v>17</v>
      </c>
      <c r="L84" s="1" t="s">
        <v>1396</v>
      </c>
      <c r="M84" s="1" t="s">
        <v>1397</v>
      </c>
      <c r="N84" s="1" t="s">
        <v>1656</v>
      </c>
    </row>
    <row r="85" spans="1:14" x14ac:dyDescent="0.25">
      <c r="A85" s="1" t="s">
        <v>10</v>
      </c>
      <c r="B85" s="1" t="str">
        <f t="shared" si="1"/>
        <v>Defaultscn01-sh010.12.0.0WrongAddressSpace</v>
      </c>
      <c r="C85" t="e">
        <f>VLOOKUP($B85, comment!$B$2:$C$401, 2, FALSE)</f>
        <v>#N/A</v>
      </c>
      <c r="D85" s="1" t="s">
        <v>1398</v>
      </c>
      <c r="E85" s="1" t="s">
        <v>1512</v>
      </c>
      <c r="F85" s="1" t="s">
        <v>1448</v>
      </c>
      <c r="G85" s="1" t="s">
        <v>1404</v>
      </c>
      <c r="H85" s="1" t="s">
        <v>1405</v>
      </c>
      <c r="I85" s="1" t="s">
        <v>1401</v>
      </c>
      <c r="J85" s="1" t="s">
        <v>123</v>
      </c>
      <c r="K85" s="1" t="s">
        <v>1444</v>
      </c>
      <c r="L85" s="1" t="s">
        <v>1445</v>
      </c>
      <c r="M85" s="1" t="s">
        <v>1406</v>
      </c>
      <c r="N85" s="1" t="s">
        <v>1657</v>
      </c>
    </row>
    <row r="86" spans="1:14" x14ac:dyDescent="0.25">
      <c r="A86" s="1" t="s">
        <v>10</v>
      </c>
      <c r="B86" s="1" t="str">
        <f t="shared" si="1"/>
        <v>Defaultscn01-sh010.12.0.0MismatchedDcName</v>
      </c>
      <c r="C86" t="e">
        <f>VLOOKUP($B86, comment!$B$2:$C$401, 2, FALSE)</f>
        <v>#N/A</v>
      </c>
      <c r="D86" s="1" t="s">
        <v>1398</v>
      </c>
      <c r="E86" s="1" t="s">
        <v>1512</v>
      </c>
      <c r="F86" s="1" t="s">
        <v>1448</v>
      </c>
      <c r="G86" s="1" t="s">
        <v>1404</v>
      </c>
      <c r="H86" s="1" t="s">
        <v>1405</v>
      </c>
      <c r="I86" s="1" t="s">
        <v>1401</v>
      </c>
      <c r="J86" s="1" t="s">
        <v>123</v>
      </c>
      <c r="K86" s="1" t="s">
        <v>17</v>
      </c>
      <c r="L86" s="1" t="s">
        <v>1402</v>
      </c>
      <c r="M86" s="1" t="s">
        <v>1406</v>
      </c>
      <c r="N86" s="1" t="s">
        <v>1657</v>
      </c>
    </row>
    <row r="87" spans="1:14" x14ac:dyDescent="0.25">
      <c r="A87" s="1" t="s">
        <v>10</v>
      </c>
      <c r="B87" s="1" t="str">
        <f t="shared" si="1"/>
        <v>Defaultson02-db521.3.1.5Obsolete</v>
      </c>
      <c r="C87" t="str">
        <f>VLOOKUP($B87, comment!$B$2:$C$401, 2, FALSE)</f>
        <v>delete</v>
      </c>
      <c r="D87" s="1" t="s">
        <v>177</v>
      </c>
      <c r="E87" s="1" t="s">
        <v>1522</v>
      </c>
      <c r="F87" s="1" t="s">
        <v>1661</v>
      </c>
      <c r="G87" s="1" t="s">
        <v>178</v>
      </c>
      <c r="H87" s="1" t="s">
        <v>179</v>
      </c>
      <c r="I87" s="1" t="s">
        <v>104</v>
      </c>
      <c r="J87" s="1" t="s">
        <v>105</v>
      </c>
      <c r="K87" s="1" t="s">
        <v>39</v>
      </c>
      <c r="L87" s="1" t="s">
        <v>40</v>
      </c>
      <c r="M87" s="1"/>
      <c r="N87" s="1" t="s">
        <v>1662</v>
      </c>
    </row>
    <row r="88" spans="1:14" x14ac:dyDescent="0.25">
      <c r="A88" s="1" t="s">
        <v>10</v>
      </c>
      <c r="B88" s="1" t="str">
        <f t="shared" si="1"/>
        <v>Defaultusg02-cy110.97.73.61EmptyDatacenter</v>
      </c>
      <c r="C88" t="e">
        <f>VLOOKUP($B88, comment!$B$2:$C$401, 2, FALSE)</f>
        <v>#N/A</v>
      </c>
      <c r="D88" s="1" t="s">
        <v>327</v>
      </c>
      <c r="E88" s="1" t="s">
        <v>1665</v>
      </c>
      <c r="F88" s="1" t="s">
        <v>1471</v>
      </c>
      <c r="G88" s="1" t="s">
        <v>309</v>
      </c>
      <c r="H88" s="1" t="s">
        <v>310</v>
      </c>
      <c r="I88" s="1"/>
      <c r="J88" s="1"/>
      <c r="K88" s="1" t="s">
        <v>31</v>
      </c>
      <c r="L88" s="1" t="s">
        <v>1450</v>
      </c>
      <c r="M88" s="1" t="s">
        <v>311</v>
      </c>
      <c r="N88" s="1" t="s">
        <v>1664</v>
      </c>
    </row>
    <row r="89" spans="1:14" x14ac:dyDescent="0.25">
      <c r="A89" s="1" t="s">
        <v>1523</v>
      </c>
      <c r="B89" s="1" t="str">
        <f t="shared" si="1"/>
        <v>GalaCakeapc01-ps210.13.38.0WrongAddressSpace</v>
      </c>
      <c r="C89" t="e">
        <f>VLOOKUP($B89, comment!$B$2:$C$401, 2, FALSE)</f>
        <v>#N/A</v>
      </c>
      <c r="D89" s="1" t="s">
        <v>1952</v>
      </c>
      <c r="E89" s="1" t="s">
        <v>1423</v>
      </c>
      <c r="F89" s="1" t="s">
        <v>1430</v>
      </c>
      <c r="G89" s="1" t="s">
        <v>1965</v>
      </c>
      <c r="H89" s="1" t="s">
        <v>1668</v>
      </c>
      <c r="I89" s="1"/>
      <c r="J89" s="1"/>
      <c r="K89" s="1" t="s">
        <v>1444</v>
      </c>
      <c r="L89" s="1" t="s">
        <v>1525</v>
      </c>
      <c r="M89" s="1" t="s">
        <v>1669</v>
      </c>
      <c r="N89" s="1" t="s">
        <v>1670</v>
      </c>
    </row>
    <row r="90" spans="1:14" x14ac:dyDescent="0.25">
      <c r="A90" s="1" t="s">
        <v>10</v>
      </c>
      <c r="B90" s="1" t="str">
        <f t="shared" si="1"/>
        <v>Defaultusg02-bn310.97.76.61EmptyDatacenter</v>
      </c>
      <c r="C90" t="str">
        <f>VLOOKUP($B90, comment!$B$2:$C$401, 2, FALSE)</f>
        <v>Exception Need to figure out</v>
      </c>
      <c r="D90" s="1" t="s">
        <v>321</v>
      </c>
      <c r="E90" s="1" t="s">
        <v>1665</v>
      </c>
      <c r="F90" s="1" t="s">
        <v>1666</v>
      </c>
      <c r="G90" s="1" t="s">
        <v>322</v>
      </c>
      <c r="H90" s="1" t="s">
        <v>323</v>
      </c>
      <c r="I90" s="1"/>
      <c r="J90" s="1"/>
      <c r="K90" s="1" t="s">
        <v>31</v>
      </c>
      <c r="L90" s="1" t="s">
        <v>1450</v>
      </c>
      <c r="M90" s="1" t="s">
        <v>311</v>
      </c>
      <c r="N90" s="1" t="s">
        <v>1667</v>
      </c>
    </row>
    <row r="91" spans="1:14" x14ac:dyDescent="0.25">
      <c r="A91" s="1" t="s">
        <v>1523</v>
      </c>
      <c r="B91" s="1" t="str">
        <f t="shared" si="1"/>
        <v>GalaCakeeur06-vi110.13.6.0WrongAddressSpace</v>
      </c>
      <c r="C91" t="e">
        <f>VLOOKUP($B91, comment!$B$2:$C$401, 2, FALSE)</f>
        <v>#N/A</v>
      </c>
      <c r="D91" s="1" t="s">
        <v>1953</v>
      </c>
      <c r="E91" s="1" t="s">
        <v>1671</v>
      </c>
      <c r="F91" s="1" t="s">
        <v>1672</v>
      </c>
      <c r="G91" s="1" t="s">
        <v>1673</v>
      </c>
      <c r="H91" s="1" t="s">
        <v>1674</v>
      </c>
      <c r="I91" s="1" t="s">
        <v>1537</v>
      </c>
      <c r="J91" s="1" t="s">
        <v>1538</v>
      </c>
      <c r="K91" s="1" t="s">
        <v>1444</v>
      </c>
      <c r="L91" s="1" t="s">
        <v>1525</v>
      </c>
      <c r="M91" s="1" t="s">
        <v>1675</v>
      </c>
      <c r="N91" s="1" t="s">
        <v>1676</v>
      </c>
    </row>
    <row r="92" spans="1:14" x14ac:dyDescent="0.25">
      <c r="A92" s="1" t="s">
        <v>1523</v>
      </c>
      <c r="B92" s="1" t="str">
        <f t="shared" si="1"/>
        <v>GalaCakegls09-sn810.40.200.16WrongAddressSpace</v>
      </c>
      <c r="C92" t="e">
        <f>VLOOKUP($B92, comment!$B$2:$C$401, 2, FALSE)</f>
        <v>#N/A</v>
      </c>
      <c r="D92" s="1" t="s">
        <v>1948</v>
      </c>
      <c r="E92" s="1" t="s">
        <v>1421</v>
      </c>
      <c r="F92" s="1" t="s">
        <v>1484</v>
      </c>
      <c r="G92" s="1" t="s">
        <v>1650</v>
      </c>
      <c r="H92" s="1" t="s">
        <v>1677</v>
      </c>
      <c r="I92" s="1" t="s">
        <v>1549</v>
      </c>
      <c r="J92" s="1" t="s">
        <v>1550</v>
      </c>
      <c r="K92" s="1" t="s">
        <v>1444</v>
      </c>
      <c r="L92" s="1" t="s">
        <v>1476</v>
      </c>
      <c r="M92" s="1" t="s">
        <v>1678</v>
      </c>
      <c r="N92" s="1" t="s">
        <v>1679</v>
      </c>
    </row>
    <row r="93" spans="1:14" x14ac:dyDescent="0.25">
      <c r="A93" s="1" t="s">
        <v>1523</v>
      </c>
      <c r="B93" s="1" t="str">
        <f t="shared" si="1"/>
        <v>GalaCakenam08-mw210.13.30.0WrongAddressSpace</v>
      </c>
      <c r="C93" t="e">
        <f>VLOOKUP($B93, comment!$B$2:$C$401, 2, FALSE)</f>
        <v>#N/A</v>
      </c>
      <c r="D93" s="1" t="s">
        <v>1073</v>
      </c>
      <c r="E93" s="1" t="s">
        <v>1680</v>
      </c>
      <c r="F93" s="1" t="s">
        <v>1681</v>
      </c>
      <c r="G93" s="1" t="s">
        <v>1682</v>
      </c>
      <c r="H93" s="1" t="s">
        <v>1683</v>
      </c>
      <c r="I93" s="1" t="s">
        <v>1542</v>
      </c>
      <c r="J93" s="1" t="s">
        <v>1543</v>
      </c>
      <c r="K93" s="1" t="s">
        <v>1444</v>
      </c>
      <c r="L93" s="1" t="s">
        <v>1525</v>
      </c>
      <c r="M93" s="1" t="s">
        <v>1684</v>
      </c>
      <c r="N93" s="1" t="s">
        <v>1685</v>
      </c>
    </row>
    <row r="94" spans="1:14" x14ac:dyDescent="0.25">
      <c r="A94" s="1" t="s">
        <v>1523</v>
      </c>
      <c r="B94" s="1" t="str">
        <f t="shared" si="1"/>
        <v>GalaCakenam09-by510.13.16.0WrongAddressSpace</v>
      </c>
      <c r="C94" t="e">
        <f>VLOOKUP($B94, comment!$B$2:$C$401, 2, FALSE)</f>
        <v>#N/A</v>
      </c>
      <c r="D94" s="1" t="s">
        <v>1086</v>
      </c>
      <c r="E94" s="1" t="s">
        <v>1686</v>
      </c>
      <c r="F94" s="1" t="s">
        <v>1687</v>
      </c>
      <c r="G94" s="1" t="s">
        <v>1688</v>
      </c>
      <c r="H94" s="1" t="s">
        <v>1689</v>
      </c>
      <c r="I94" s="1" t="s">
        <v>1542</v>
      </c>
      <c r="J94" s="1" t="s">
        <v>1543</v>
      </c>
      <c r="K94" s="1" t="s">
        <v>1444</v>
      </c>
      <c r="L94" s="1" t="s">
        <v>1525</v>
      </c>
      <c r="M94" s="1" t="s">
        <v>1690</v>
      </c>
      <c r="N94" s="1" t="s">
        <v>1691</v>
      </c>
    </row>
    <row r="95" spans="1:14" x14ac:dyDescent="0.25">
      <c r="A95" s="1" t="s">
        <v>1523</v>
      </c>
      <c r="B95" s="1" t="str">
        <f t="shared" si="1"/>
        <v>GalaCakenam09-by510.13.16.0MismatchedDcName</v>
      </c>
      <c r="C95" t="e">
        <f>VLOOKUP($B95, comment!$B$2:$C$401, 2, FALSE)</f>
        <v>#N/A</v>
      </c>
      <c r="D95" s="1" t="s">
        <v>1086</v>
      </c>
      <c r="E95" s="1" t="s">
        <v>1686</v>
      </c>
      <c r="F95" s="1" t="s">
        <v>1687</v>
      </c>
      <c r="G95" s="1" t="s">
        <v>1688</v>
      </c>
      <c r="H95" s="1" t="s">
        <v>1689</v>
      </c>
      <c r="I95" s="1" t="s">
        <v>1542</v>
      </c>
      <c r="J95" s="1" t="s">
        <v>1543</v>
      </c>
      <c r="K95" s="1" t="s">
        <v>17</v>
      </c>
      <c r="L95" s="1" t="s">
        <v>1692</v>
      </c>
      <c r="M95" s="1" t="s">
        <v>1690</v>
      </c>
      <c r="N95" s="1" t="s">
        <v>1691</v>
      </c>
    </row>
    <row r="96" spans="1:14" x14ac:dyDescent="0.25">
      <c r="A96" s="1" t="s">
        <v>1523</v>
      </c>
      <c r="B96" s="1" t="str">
        <f t="shared" si="1"/>
        <v>GalaCakenor01-sva100.127.139.0WrongAddressSpace</v>
      </c>
      <c r="C96" t="e">
        <f>VLOOKUP($B96, comment!$B$2:$C$401, 2, FALSE)</f>
        <v>#N/A</v>
      </c>
      <c r="D96" s="1" t="s">
        <v>1954</v>
      </c>
      <c r="E96" s="1" t="s">
        <v>1507</v>
      </c>
      <c r="F96" s="1" t="s">
        <v>1944</v>
      </c>
      <c r="G96" s="1" t="s">
        <v>1945</v>
      </c>
      <c r="H96" s="1" t="s">
        <v>1693</v>
      </c>
      <c r="I96" s="1"/>
      <c r="J96" s="1"/>
      <c r="K96" s="1" t="s">
        <v>1444</v>
      </c>
      <c r="L96" s="1" t="s">
        <v>1525</v>
      </c>
      <c r="M96" s="1" t="s">
        <v>1567</v>
      </c>
      <c r="N96" s="1" t="s">
        <v>1694</v>
      </c>
    </row>
    <row r="97" spans="1:14" x14ac:dyDescent="0.25">
      <c r="A97" s="1" t="s">
        <v>1565</v>
      </c>
      <c r="B97" s="1" t="str">
        <f t="shared" si="1"/>
        <v>EXnor01-sva100.127.139.0WrongAddressSpace</v>
      </c>
      <c r="C97" t="e">
        <f>VLOOKUP($B97, comment!$B$2:$C$401, 2, FALSE)</f>
        <v>#N/A</v>
      </c>
      <c r="D97" s="1" t="s">
        <v>1954</v>
      </c>
      <c r="E97" s="1" t="s">
        <v>1507</v>
      </c>
      <c r="F97" s="1" t="s">
        <v>1944</v>
      </c>
      <c r="G97" s="1" t="s">
        <v>1945</v>
      </c>
      <c r="H97" s="1" t="s">
        <v>1693</v>
      </c>
      <c r="I97" s="1"/>
      <c r="J97" s="1"/>
      <c r="K97" s="1" t="s">
        <v>1444</v>
      </c>
      <c r="L97" s="1" t="s">
        <v>1525</v>
      </c>
      <c r="M97" s="1" t="s">
        <v>1695</v>
      </c>
      <c r="N97" s="1" t="s">
        <v>1696</v>
      </c>
    </row>
    <row r="98" spans="1:14" x14ac:dyDescent="0.25">
      <c r="A98" s="1" t="s">
        <v>1565</v>
      </c>
      <c r="B98" s="1" t="str">
        <f t="shared" si="1"/>
        <v>EXscn01-sh010.12.0.0WrongAddressSpace</v>
      </c>
      <c r="C98" t="e">
        <f>VLOOKUP($B98, comment!$B$2:$C$401, 2, FALSE)</f>
        <v>#N/A</v>
      </c>
      <c r="D98" s="1" t="s">
        <v>1398</v>
      </c>
      <c r="E98" s="1" t="s">
        <v>1512</v>
      </c>
      <c r="F98" s="1" t="s">
        <v>1448</v>
      </c>
      <c r="G98" s="1" t="s">
        <v>1404</v>
      </c>
      <c r="H98" s="1" t="s">
        <v>1697</v>
      </c>
      <c r="I98" s="1" t="s">
        <v>88</v>
      </c>
      <c r="J98" s="1"/>
      <c r="K98" s="1" t="s">
        <v>1444</v>
      </c>
      <c r="L98" s="1" t="s">
        <v>1445</v>
      </c>
      <c r="M98" s="1" t="s">
        <v>1698</v>
      </c>
      <c r="N98" s="1" t="s">
        <v>1699</v>
      </c>
    </row>
    <row r="99" spans="1:14" x14ac:dyDescent="0.25">
      <c r="A99" s="1" t="s">
        <v>1565</v>
      </c>
      <c r="B99" s="1" t="str">
        <f t="shared" si="1"/>
        <v>EXscn01-sh010.12.0.0MismatchedDcName</v>
      </c>
      <c r="C99" t="e">
        <f>VLOOKUP($B99, comment!$B$2:$C$401, 2, FALSE)</f>
        <v>#N/A</v>
      </c>
      <c r="D99" s="1" t="s">
        <v>1398</v>
      </c>
      <c r="E99" s="1" t="s">
        <v>1512</v>
      </c>
      <c r="F99" s="1" t="s">
        <v>1448</v>
      </c>
      <c r="G99" s="1" t="s">
        <v>1404</v>
      </c>
      <c r="H99" s="1" t="s">
        <v>1697</v>
      </c>
      <c r="I99" s="1" t="s">
        <v>88</v>
      </c>
      <c r="J99" s="1"/>
      <c r="K99" s="1" t="s">
        <v>17</v>
      </c>
      <c r="L99" s="1" t="s">
        <v>1700</v>
      </c>
      <c r="M99" s="1" t="s">
        <v>1698</v>
      </c>
      <c r="N99" s="1" t="s">
        <v>1699</v>
      </c>
    </row>
    <row r="100" spans="1:14" x14ac:dyDescent="0.25">
      <c r="A100" s="1" t="s">
        <v>1386</v>
      </c>
      <c r="B100" s="1" t="str">
        <f t="shared" si="1"/>
        <v>RXapc01-ps210.13.38.0WrongAddressSpace</v>
      </c>
      <c r="C100" t="e">
        <f>VLOOKUP($B100, comment!$B$2:$C$401, 2, FALSE)</f>
        <v>#N/A</v>
      </c>
      <c r="D100" s="1" t="s">
        <v>1952</v>
      </c>
      <c r="E100" s="1" t="s">
        <v>1423</v>
      </c>
      <c r="F100" s="1" t="s">
        <v>1430</v>
      </c>
      <c r="G100" s="1" t="s">
        <v>1965</v>
      </c>
      <c r="H100" s="1" t="s">
        <v>1701</v>
      </c>
      <c r="I100" s="1"/>
      <c r="J100" s="1" t="s">
        <v>1604</v>
      </c>
      <c r="K100" s="1" t="s">
        <v>1444</v>
      </c>
      <c r="L100" s="1" t="s">
        <v>1525</v>
      </c>
      <c r="M100" s="1" t="s">
        <v>1702</v>
      </c>
      <c r="N100" s="1" t="s">
        <v>1703</v>
      </c>
    </row>
    <row r="101" spans="1:14" x14ac:dyDescent="0.25">
      <c r="A101" s="1" t="s">
        <v>1386</v>
      </c>
      <c r="B101" s="1" t="str">
        <f t="shared" si="1"/>
        <v>RXeur06-vi110.13.6.0WrongAddressSpace</v>
      </c>
      <c r="C101" t="e">
        <f>VLOOKUP($B101, comment!$B$2:$C$401, 2, FALSE)</f>
        <v>#N/A</v>
      </c>
      <c r="D101" s="1" t="s">
        <v>1953</v>
      </c>
      <c r="E101" s="1" t="s">
        <v>1671</v>
      </c>
      <c r="F101" s="1" t="s">
        <v>1672</v>
      </c>
      <c r="G101" s="1" t="s">
        <v>1673</v>
      </c>
      <c r="H101" s="1" t="s">
        <v>1704</v>
      </c>
      <c r="I101" s="1"/>
      <c r="J101" s="1" t="s">
        <v>1604</v>
      </c>
      <c r="K101" s="1" t="s">
        <v>1444</v>
      </c>
      <c r="L101" s="1" t="s">
        <v>1525</v>
      </c>
      <c r="M101" s="1" t="s">
        <v>1705</v>
      </c>
      <c r="N101" s="1" t="s">
        <v>1706</v>
      </c>
    </row>
    <row r="102" spans="1:14" x14ac:dyDescent="0.25">
      <c r="A102" s="1" t="s">
        <v>1386</v>
      </c>
      <c r="B102" s="1" t="str">
        <f t="shared" si="1"/>
        <v>RXnam07-bn110.13.2.0WrongAddressSpace</v>
      </c>
      <c r="C102" t="e">
        <f>VLOOKUP($B102, comment!$B$2:$C$401, 2, FALSE)</f>
        <v>#N/A</v>
      </c>
      <c r="D102" s="1" t="s">
        <v>1033</v>
      </c>
      <c r="E102" s="1" t="s">
        <v>1711</v>
      </c>
      <c r="F102" s="1" t="s">
        <v>1712</v>
      </c>
      <c r="G102" s="1" t="s">
        <v>1713</v>
      </c>
      <c r="H102" s="1" t="s">
        <v>1961</v>
      </c>
      <c r="I102" s="1"/>
      <c r="J102" s="1" t="s">
        <v>1604</v>
      </c>
      <c r="K102" s="1" t="s">
        <v>1444</v>
      </c>
      <c r="L102" s="1" t="s">
        <v>1525</v>
      </c>
      <c r="M102" s="1" t="s">
        <v>1959</v>
      </c>
      <c r="N102" s="1" t="s">
        <v>1962</v>
      </c>
    </row>
    <row r="103" spans="1:14" x14ac:dyDescent="0.25">
      <c r="A103" s="1" t="s">
        <v>1386</v>
      </c>
      <c r="B103" s="1" t="str">
        <f t="shared" si="1"/>
        <v>RXnam07-bn110.13.2.0EmptyDatacenter</v>
      </c>
      <c r="C103" t="e">
        <f>VLOOKUP($B103, comment!$B$2:$C$401, 2, FALSE)</f>
        <v>#N/A</v>
      </c>
      <c r="D103" s="1" t="s">
        <v>1033</v>
      </c>
      <c r="E103" s="1" t="s">
        <v>1711</v>
      </c>
      <c r="F103" s="1" t="s">
        <v>1712</v>
      </c>
      <c r="G103" s="1" t="s">
        <v>1713</v>
      </c>
      <c r="H103" s="1" t="s">
        <v>1961</v>
      </c>
      <c r="I103" s="1"/>
      <c r="J103" s="1" t="s">
        <v>1604</v>
      </c>
      <c r="K103" s="1" t="s">
        <v>31</v>
      </c>
      <c r="L103" s="1" t="s">
        <v>1450</v>
      </c>
      <c r="M103" s="1" t="s">
        <v>1959</v>
      </c>
      <c r="N103" s="1" t="s">
        <v>1962</v>
      </c>
    </row>
    <row r="104" spans="1:14" x14ac:dyDescent="0.25">
      <c r="A104" s="1" t="s">
        <v>1386</v>
      </c>
      <c r="B104" s="1" t="str">
        <f t="shared" si="1"/>
        <v>RXnam09-by510.13.16.0WrongAddressSpace</v>
      </c>
      <c r="C104" t="e">
        <f>VLOOKUP($B104, comment!$B$2:$C$401, 2, FALSE)</f>
        <v>#N/A</v>
      </c>
      <c r="D104" s="1" t="s">
        <v>1086</v>
      </c>
      <c r="E104" s="1" t="s">
        <v>1686</v>
      </c>
      <c r="F104" s="1" t="s">
        <v>1687</v>
      </c>
      <c r="G104" s="1" t="s">
        <v>1688</v>
      </c>
      <c r="H104" s="1" t="s">
        <v>1714</v>
      </c>
      <c r="I104" s="1" t="s">
        <v>1715</v>
      </c>
      <c r="J104" s="1" t="s">
        <v>1604</v>
      </c>
      <c r="K104" s="1" t="s">
        <v>1444</v>
      </c>
      <c r="L104" s="1" t="s">
        <v>1525</v>
      </c>
      <c r="M104" s="1" t="s">
        <v>1716</v>
      </c>
      <c r="N104" s="1" t="s">
        <v>1717</v>
      </c>
    </row>
    <row r="105" spans="1:14" x14ac:dyDescent="0.25">
      <c r="A105" s="1" t="s">
        <v>1386</v>
      </c>
      <c r="B105" s="1" t="str">
        <f t="shared" si="1"/>
        <v>RXnam09-by510.13.16.0MismatchedDcName</v>
      </c>
      <c r="C105" t="e">
        <f>VLOOKUP($B105, comment!$B$2:$C$401, 2, FALSE)</f>
        <v>#N/A</v>
      </c>
      <c r="D105" s="1" t="s">
        <v>1086</v>
      </c>
      <c r="E105" s="1" t="s">
        <v>1686</v>
      </c>
      <c r="F105" s="1" t="s">
        <v>1687</v>
      </c>
      <c r="G105" s="1" t="s">
        <v>1688</v>
      </c>
      <c r="H105" s="1" t="s">
        <v>1714</v>
      </c>
      <c r="I105" s="1" t="s">
        <v>1715</v>
      </c>
      <c r="J105" s="1" t="s">
        <v>1604</v>
      </c>
      <c r="K105" s="1" t="s">
        <v>17</v>
      </c>
      <c r="L105" s="1" t="s">
        <v>1718</v>
      </c>
      <c r="M105" s="1" t="s">
        <v>1716</v>
      </c>
      <c r="N105" s="1" t="s">
        <v>1717</v>
      </c>
    </row>
    <row r="106" spans="1:14" x14ac:dyDescent="0.25">
      <c r="A106" s="1" t="s">
        <v>1386</v>
      </c>
      <c r="B106" s="1" t="str">
        <f t="shared" si="1"/>
        <v>RXnam07-dm310.13.4.0WrongAddressSpace</v>
      </c>
      <c r="C106" t="e">
        <f>VLOOKUP($B106, comment!$B$2:$C$401, 2, FALSE)</f>
        <v>#N/A</v>
      </c>
      <c r="D106" s="1" t="s">
        <v>1036</v>
      </c>
      <c r="E106" s="1" t="s">
        <v>1711</v>
      </c>
      <c r="F106" s="1" t="s">
        <v>1659</v>
      </c>
      <c r="G106" s="1" t="s">
        <v>1957</v>
      </c>
      <c r="H106" s="1" t="s">
        <v>1958</v>
      </c>
      <c r="I106" s="1"/>
      <c r="J106" s="1" t="s">
        <v>1604</v>
      </c>
      <c r="K106" s="1" t="s">
        <v>1444</v>
      </c>
      <c r="L106" s="1" t="s">
        <v>1525</v>
      </c>
      <c r="M106" s="1" t="s">
        <v>1959</v>
      </c>
      <c r="N106" s="1" t="s">
        <v>1960</v>
      </c>
    </row>
    <row r="107" spans="1:14" x14ac:dyDescent="0.25">
      <c r="A107" s="1" t="s">
        <v>1386</v>
      </c>
      <c r="B107" s="1" t="str">
        <f t="shared" si="1"/>
        <v>RXnam07-dm310.13.4.0EmptyDatacenter</v>
      </c>
      <c r="C107" t="e">
        <f>VLOOKUP($B107, comment!$B$2:$C$401, 2, FALSE)</f>
        <v>#N/A</v>
      </c>
      <c r="D107" s="1" t="s">
        <v>1036</v>
      </c>
      <c r="E107" s="1" t="s">
        <v>1711</v>
      </c>
      <c r="F107" s="1" t="s">
        <v>1659</v>
      </c>
      <c r="G107" s="1" t="s">
        <v>1957</v>
      </c>
      <c r="H107" s="1" t="s">
        <v>1958</v>
      </c>
      <c r="I107" s="1"/>
      <c r="J107" s="1" t="s">
        <v>1604</v>
      </c>
      <c r="K107" s="1" t="s">
        <v>31</v>
      </c>
      <c r="L107" s="1" t="s">
        <v>1450</v>
      </c>
      <c r="M107" s="1" t="s">
        <v>1959</v>
      </c>
      <c r="N107" s="1" t="s">
        <v>1960</v>
      </c>
    </row>
    <row r="108" spans="1:14" x14ac:dyDescent="0.25">
      <c r="A108" s="1" t="s">
        <v>1386</v>
      </c>
      <c r="B108" s="1" t="str">
        <f t="shared" si="1"/>
        <v>RXna-by210.1.14.18WrongAddressSpace</v>
      </c>
      <c r="C108" t="e">
        <f>VLOOKUP($B108, comment!$B$2:$C$401, 2, FALSE)</f>
        <v>#N/A</v>
      </c>
      <c r="D108" s="1" t="s">
        <v>990</v>
      </c>
      <c r="E108" s="1" t="s">
        <v>1578</v>
      </c>
      <c r="F108" s="1" t="s">
        <v>1579</v>
      </c>
      <c r="G108" s="1" t="s">
        <v>1707</v>
      </c>
      <c r="H108" s="1" t="s">
        <v>1708</v>
      </c>
      <c r="I108" s="1"/>
      <c r="J108" s="1"/>
      <c r="K108" s="1" t="s">
        <v>1444</v>
      </c>
      <c r="L108" s="1" t="s">
        <v>1525</v>
      </c>
      <c r="M108" s="1" t="s">
        <v>1709</v>
      </c>
      <c r="N108" s="1" t="s">
        <v>1710</v>
      </c>
    </row>
    <row r="109" spans="1:14" x14ac:dyDescent="0.25">
      <c r="A109" s="1" t="s">
        <v>1386</v>
      </c>
      <c r="B109" s="1" t="str">
        <f t="shared" si="1"/>
        <v>RXnor01-sva100.127.139.0WrongAddressSpace</v>
      </c>
      <c r="C109" t="e">
        <f>VLOOKUP($B109, comment!$B$2:$C$401, 2, FALSE)</f>
        <v>#N/A</v>
      </c>
      <c r="D109" s="1" t="s">
        <v>1954</v>
      </c>
      <c r="E109" s="1" t="s">
        <v>1507</v>
      </c>
      <c r="F109" s="1" t="s">
        <v>1944</v>
      </c>
      <c r="G109" s="1" t="s">
        <v>1945</v>
      </c>
      <c r="H109" s="1" t="s">
        <v>1693</v>
      </c>
      <c r="I109" s="1"/>
      <c r="J109" s="1"/>
      <c r="K109" s="1" t="s">
        <v>1444</v>
      </c>
      <c r="L109" s="1" t="s">
        <v>1525</v>
      </c>
      <c r="M109" s="1" t="s">
        <v>1695</v>
      </c>
      <c r="N109" s="1" t="s">
        <v>1719</v>
      </c>
    </row>
    <row r="110" spans="1:14" x14ac:dyDescent="0.25">
      <c r="A110" s="1" t="s">
        <v>1386</v>
      </c>
      <c r="B110" s="1" t="str">
        <f t="shared" si="1"/>
        <v>RXsfr01-mr210.13.12.128WrongAddressSpace</v>
      </c>
      <c r="C110" t="e">
        <f>VLOOKUP($B110, comment!$B$2:$C$401, 2, FALSE)</f>
        <v>#N/A</v>
      </c>
      <c r="D110" s="1" t="s">
        <v>1158</v>
      </c>
      <c r="E110" s="1" t="s">
        <v>1721</v>
      </c>
      <c r="F110" s="1" t="s">
        <v>1722</v>
      </c>
      <c r="G110" s="1" t="s">
        <v>1966</v>
      </c>
      <c r="H110" s="1" t="s">
        <v>1723</v>
      </c>
      <c r="I110" s="1"/>
      <c r="J110" s="1" t="s">
        <v>1604</v>
      </c>
      <c r="K110" s="1" t="s">
        <v>1444</v>
      </c>
      <c r="L110" s="1" t="s">
        <v>1525</v>
      </c>
      <c r="M110" s="1" t="s">
        <v>1724</v>
      </c>
      <c r="N110" s="1" t="s">
        <v>1725</v>
      </c>
    </row>
    <row r="111" spans="1:14" x14ac:dyDescent="0.25">
      <c r="A111" s="1" t="s">
        <v>1386</v>
      </c>
      <c r="B111" s="1" t="str">
        <f t="shared" si="1"/>
        <v>RXsgp01-sg210.13.8.5WrongAddressSpace</v>
      </c>
      <c r="C111" t="e">
        <f>VLOOKUP($B111, comment!$B$2:$C$401, 2, FALSE)</f>
        <v>#N/A</v>
      </c>
      <c r="D111" s="1" t="s">
        <v>1955</v>
      </c>
      <c r="E111" s="1" t="s">
        <v>1942</v>
      </c>
      <c r="F111" s="1" t="s">
        <v>1726</v>
      </c>
      <c r="G111" s="1" t="s">
        <v>1943</v>
      </c>
      <c r="H111" s="1" t="s">
        <v>1727</v>
      </c>
      <c r="I111" s="1"/>
      <c r="J111" s="1" t="s">
        <v>1604</v>
      </c>
      <c r="K111" s="1" t="s">
        <v>1444</v>
      </c>
      <c r="L111" s="1" t="s">
        <v>1525</v>
      </c>
      <c r="M111" s="1" t="s">
        <v>1724</v>
      </c>
      <c r="N111" s="1" t="s">
        <v>1728</v>
      </c>
    </row>
    <row r="112" spans="1:14" x14ac:dyDescent="0.25">
      <c r="A112" s="1" t="s">
        <v>1386</v>
      </c>
      <c r="B112" s="1" t="str">
        <f t="shared" si="1"/>
        <v>RXscn01-sh010.12.0.0WrongAddressSpace</v>
      </c>
      <c r="C112" t="e">
        <f>VLOOKUP($B112, comment!$B$2:$C$401, 2, FALSE)</f>
        <v>#N/A</v>
      </c>
      <c r="D112" s="1" t="s">
        <v>1398</v>
      </c>
      <c r="E112" s="1" t="s">
        <v>1512</v>
      </c>
      <c r="F112" s="1" t="s">
        <v>1448</v>
      </c>
      <c r="G112" s="1" t="s">
        <v>1404</v>
      </c>
      <c r="H112" s="1" t="s">
        <v>1697</v>
      </c>
      <c r="I112" s="1"/>
      <c r="J112" s="1"/>
      <c r="K112" s="1" t="s">
        <v>1444</v>
      </c>
      <c r="L112" s="1" t="s">
        <v>1445</v>
      </c>
      <c r="M112" s="1" t="s">
        <v>1698</v>
      </c>
      <c r="N112" s="1" t="s">
        <v>1720</v>
      </c>
    </row>
    <row r="113" spans="1:14" x14ac:dyDescent="0.25">
      <c r="A113" s="1" t="s">
        <v>1386</v>
      </c>
      <c r="B113" s="1" t="str">
        <f t="shared" si="1"/>
        <v>RXscn01-sh010.12.0.0EmptyDatacenter</v>
      </c>
      <c r="C113" t="e">
        <f>VLOOKUP($B113, comment!$B$2:$C$401, 2, FALSE)</f>
        <v>#N/A</v>
      </c>
      <c r="D113" s="1" t="s">
        <v>1398</v>
      </c>
      <c r="E113" s="1" t="s">
        <v>1512</v>
      </c>
      <c r="F113" s="1" t="s">
        <v>1448</v>
      </c>
      <c r="G113" s="1" t="s">
        <v>1404</v>
      </c>
      <c r="H113" s="1" t="s">
        <v>1697</v>
      </c>
      <c r="I113" s="1"/>
      <c r="J113" s="1"/>
      <c r="K113" s="1" t="s">
        <v>31</v>
      </c>
      <c r="L113" s="1" t="s">
        <v>1450</v>
      </c>
      <c r="M113" s="1" t="s">
        <v>1698</v>
      </c>
      <c r="N113" s="1" t="s">
        <v>1720</v>
      </c>
    </row>
    <row r="114" spans="1:14" x14ac:dyDescent="0.25">
      <c r="A114" s="1" t="s">
        <v>10</v>
      </c>
      <c r="B114" s="1" t="str">
        <f t="shared" si="1"/>
        <v>Defaultchn02-sh02406:e500:4120:0002::WrongAddressSpace</v>
      </c>
      <c r="C114" t="e">
        <f>VLOOKUP($B114, comment!$B$2:$C$401, 2, FALSE)</f>
        <v>#N/A</v>
      </c>
      <c r="D114" s="1" t="s">
        <v>598</v>
      </c>
      <c r="E114" s="1" t="s">
        <v>1440</v>
      </c>
      <c r="F114" s="1" t="s">
        <v>1448</v>
      </c>
      <c r="G114" s="1" t="s">
        <v>1967</v>
      </c>
      <c r="H114" s="1" t="s">
        <v>1729</v>
      </c>
      <c r="I114" s="1"/>
      <c r="J114" s="1"/>
      <c r="K114" s="1" t="s">
        <v>1444</v>
      </c>
      <c r="L114" s="1" t="s">
        <v>1445</v>
      </c>
      <c r="M114" s="1" t="s">
        <v>1730</v>
      </c>
      <c r="N114" s="1" t="s">
        <v>1731</v>
      </c>
    </row>
    <row r="115" spans="1:14" x14ac:dyDescent="0.25">
      <c r="A115" s="1" t="s">
        <v>10</v>
      </c>
      <c r="B115" s="1" t="str">
        <f t="shared" si="1"/>
        <v>Defaultgallatin-bjb10.41.67.0WrongAddressSpace</v>
      </c>
      <c r="C115" t="e">
        <f>VLOOKUP($B115, comment!$B$2:$C$401, 2, FALSE)</f>
        <v>#N/A</v>
      </c>
      <c r="D115" s="1" t="s">
        <v>1360</v>
      </c>
      <c r="E115" s="1" t="s">
        <v>1417</v>
      </c>
      <c r="F115" s="1" t="s">
        <v>1418</v>
      </c>
      <c r="G115" s="1" t="s">
        <v>1361</v>
      </c>
      <c r="H115" s="1" t="s">
        <v>1362</v>
      </c>
      <c r="I115" s="1" t="s">
        <v>97</v>
      </c>
      <c r="J115" s="1" t="s">
        <v>98</v>
      </c>
      <c r="K115" s="1" t="s">
        <v>1444</v>
      </c>
      <c r="L115" s="1" t="s">
        <v>1445</v>
      </c>
      <c r="M115" s="1" t="s">
        <v>1364</v>
      </c>
      <c r="N115" s="1" t="s">
        <v>1733</v>
      </c>
    </row>
    <row r="116" spans="1:14" x14ac:dyDescent="0.25">
      <c r="A116" s="1" t="s">
        <v>10</v>
      </c>
      <c r="B116" s="1" t="str">
        <f t="shared" si="1"/>
        <v>Defaultgallatin-bjb10.41.67.0MismatchedDcName</v>
      </c>
      <c r="C116" t="e">
        <f>VLOOKUP($B116, comment!$B$2:$C$401, 2, FALSE)</f>
        <v>#N/A</v>
      </c>
      <c r="D116" s="1" t="s">
        <v>1360</v>
      </c>
      <c r="E116" s="1" t="s">
        <v>1417</v>
      </c>
      <c r="F116" s="1" t="s">
        <v>1418</v>
      </c>
      <c r="G116" s="1" t="s">
        <v>1361</v>
      </c>
      <c r="H116" s="1" t="s">
        <v>1362</v>
      </c>
      <c r="I116" s="1" t="s">
        <v>97</v>
      </c>
      <c r="J116" s="1" t="s">
        <v>98</v>
      </c>
      <c r="K116" s="1" t="s">
        <v>17</v>
      </c>
      <c r="L116" s="1" t="s">
        <v>1363</v>
      </c>
      <c r="M116" s="1" t="s">
        <v>1364</v>
      </c>
      <c r="N116" s="1" t="s">
        <v>1733</v>
      </c>
    </row>
    <row r="117" spans="1:14" x14ac:dyDescent="0.25">
      <c r="A117" s="1" t="s">
        <v>10</v>
      </c>
      <c r="B117" s="1" t="str">
        <f t="shared" si="1"/>
        <v>Defaultgallatin-sha10.41.140.0WrongAddressSpace</v>
      </c>
      <c r="C117" t="e">
        <f>VLOOKUP($B117, comment!$B$2:$C$401, 2, FALSE)</f>
        <v>#N/A</v>
      </c>
      <c r="D117" s="1" t="s">
        <v>1366</v>
      </c>
      <c r="E117" s="1" t="s">
        <v>1417</v>
      </c>
      <c r="F117" s="1" t="s">
        <v>1455</v>
      </c>
      <c r="G117" s="1" t="s">
        <v>1370</v>
      </c>
      <c r="H117" s="1" t="s">
        <v>1371</v>
      </c>
      <c r="I117" s="1"/>
      <c r="J117" s="1" t="s">
        <v>24</v>
      </c>
      <c r="K117" s="1" t="s">
        <v>1444</v>
      </c>
      <c r="L117" s="1" t="s">
        <v>1445</v>
      </c>
      <c r="M117" s="1" t="s">
        <v>1372</v>
      </c>
      <c r="N117" s="1" t="s">
        <v>1732</v>
      </c>
    </row>
    <row r="118" spans="1:14" x14ac:dyDescent="0.25">
      <c r="A118" s="1" t="s">
        <v>10</v>
      </c>
      <c r="B118" s="1" t="str">
        <f t="shared" si="1"/>
        <v>Defaultgallatin-sha10.41.140.0EmptyDatacenter</v>
      </c>
      <c r="C118" t="e">
        <f>VLOOKUP($B118, comment!$B$2:$C$401, 2, FALSE)</f>
        <v>#N/A</v>
      </c>
      <c r="D118" s="1" t="s">
        <v>1366</v>
      </c>
      <c r="E118" s="1" t="s">
        <v>1417</v>
      </c>
      <c r="F118" s="1" t="s">
        <v>1455</v>
      </c>
      <c r="G118" s="1" t="s">
        <v>1370</v>
      </c>
      <c r="H118" s="1" t="s">
        <v>1371</v>
      </c>
      <c r="I118" s="1"/>
      <c r="J118" s="1" t="s">
        <v>24</v>
      </c>
      <c r="K118" s="1" t="s">
        <v>31</v>
      </c>
      <c r="L118" s="1" t="s">
        <v>1450</v>
      </c>
      <c r="M118" s="1" t="s">
        <v>1372</v>
      </c>
      <c r="N118" s="1" t="s">
        <v>1732</v>
      </c>
    </row>
    <row r="119" spans="1:14" x14ac:dyDescent="0.25">
      <c r="A119" s="1" t="s">
        <v>10</v>
      </c>
      <c r="B119" s="1" t="str">
        <f t="shared" si="1"/>
        <v>Defaultsap01-ps1157.56.210.48InvalidRegion</v>
      </c>
      <c r="C119" t="e">
        <f>VLOOKUP($B119, comment!$B$2:$C$401, 2, FALSE)</f>
        <v>#N/A</v>
      </c>
      <c r="D119" s="1" t="s">
        <v>1261</v>
      </c>
      <c r="E119" s="1" t="s">
        <v>1508</v>
      </c>
      <c r="F119" s="1" t="s">
        <v>1509</v>
      </c>
      <c r="G119" s="1" t="s">
        <v>1734</v>
      </c>
      <c r="H119" s="1" t="s">
        <v>1735</v>
      </c>
      <c r="I119" s="1" t="s">
        <v>968</v>
      </c>
      <c r="J119" s="1" t="s">
        <v>1264</v>
      </c>
      <c r="K119" s="1" t="s">
        <v>1427</v>
      </c>
      <c r="L119" s="1" t="s">
        <v>1940</v>
      </c>
      <c r="M119" s="1" t="s">
        <v>1736</v>
      </c>
      <c r="N119" s="1" t="s">
        <v>1737</v>
      </c>
    </row>
    <row r="120" spans="1:14" x14ac:dyDescent="0.25">
      <c r="A120" s="1" t="s">
        <v>10</v>
      </c>
      <c r="B120" s="1" t="str">
        <f t="shared" si="1"/>
        <v>Defaultsap01-pu12a01:111:f400:fec6::InvalidRegion</v>
      </c>
      <c r="C120" t="e">
        <f>VLOOKUP($B120, comment!$B$2:$C$401, 2, FALSE)</f>
        <v>#N/A</v>
      </c>
      <c r="D120" s="1" t="s">
        <v>174</v>
      </c>
      <c r="E120" s="1" t="s">
        <v>1508</v>
      </c>
      <c r="F120" s="1" t="s">
        <v>1424</v>
      </c>
      <c r="G120" s="1" t="s">
        <v>1267</v>
      </c>
      <c r="H120" s="1" t="s">
        <v>1268</v>
      </c>
      <c r="I120" s="1" t="s">
        <v>968</v>
      </c>
      <c r="J120" s="1" t="s">
        <v>1264</v>
      </c>
      <c r="K120" s="1" t="s">
        <v>1427</v>
      </c>
      <c r="L120" s="1" t="s">
        <v>1940</v>
      </c>
      <c r="M120" s="1" t="s">
        <v>1738</v>
      </c>
      <c r="N120" s="1" t="s">
        <v>1739</v>
      </c>
    </row>
    <row r="121" spans="1:14" x14ac:dyDescent="0.25">
      <c r="A121" s="1" t="s">
        <v>10</v>
      </c>
      <c r="B121" s="1" t="str">
        <f t="shared" si="1"/>
        <v>Defaultsna04-sn42a01:111:e400:fc86::InvalidTitle</v>
      </c>
      <c r="C121" t="e">
        <f>VLOOKUP($B121, comment!$B$2:$C$401, 2, FALSE)</f>
        <v>#N/A</v>
      </c>
      <c r="D121" s="1" t="s">
        <v>1314</v>
      </c>
      <c r="E121" s="1" t="s">
        <v>1658</v>
      </c>
      <c r="F121" s="1" t="s">
        <v>1649</v>
      </c>
      <c r="G121" s="1" t="s">
        <v>446</v>
      </c>
      <c r="H121" s="1" t="s">
        <v>447</v>
      </c>
      <c r="I121" s="1" t="s">
        <v>1317</v>
      </c>
      <c r="J121" s="1" t="s">
        <v>164</v>
      </c>
      <c r="K121" s="1" t="s">
        <v>62</v>
      </c>
      <c r="L121" s="1" t="s">
        <v>1941</v>
      </c>
      <c r="M121" s="1" t="s">
        <v>448</v>
      </c>
      <c r="N121" s="1" t="s">
        <v>1740</v>
      </c>
    </row>
    <row r="122" spans="1:14" x14ac:dyDescent="0.25">
      <c r="A122" s="1" t="s">
        <v>10</v>
      </c>
      <c r="B122" s="1" t="str">
        <f t="shared" si="1"/>
        <v>Defaultson02-db521.3.1.6DubiousTitle</v>
      </c>
      <c r="C122" t="e">
        <f>VLOOKUP($B122, comment!$B$2:$C$401, 2, FALSE)</f>
        <v>#N/A</v>
      </c>
      <c r="D122" s="1" t="s">
        <v>177</v>
      </c>
      <c r="E122" s="1" t="s">
        <v>1522</v>
      </c>
      <c r="F122" s="1" t="s">
        <v>1661</v>
      </c>
      <c r="G122" s="1" t="s">
        <v>1352</v>
      </c>
      <c r="H122" s="1" t="s">
        <v>1353</v>
      </c>
      <c r="I122" s="1" t="s">
        <v>104</v>
      </c>
      <c r="J122" s="1" t="s">
        <v>105</v>
      </c>
      <c r="K122" s="1" t="s">
        <v>1964</v>
      </c>
      <c r="L122" s="1" t="s">
        <v>1969</v>
      </c>
      <c r="M122" s="1" t="s">
        <v>1741</v>
      </c>
      <c r="N122" s="1" t="s">
        <v>1742</v>
      </c>
    </row>
    <row r="123" spans="1:14" x14ac:dyDescent="0.25">
      <c r="A123" s="1" t="s">
        <v>1523</v>
      </c>
      <c r="B123" s="1" t="str">
        <f t="shared" si="1"/>
        <v>GalaCakegallatin-bjb10.41.67.0InvalidTitle</v>
      </c>
      <c r="C123" t="e">
        <f>VLOOKUP($B123, comment!$B$2:$C$401, 2, FALSE)</f>
        <v>#N/A</v>
      </c>
      <c r="D123" s="1" t="s">
        <v>1360</v>
      </c>
      <c r="E123" s="1" t="s">
        <v>1417</v>
      </c>
      <c r="F123" s="1" t="s">
        <v>1418</v>
      </c>
      <c r="G123" s="1" t="s">
        <v>1361</v>
      </c>
      <c r="H123" s="1" t="s">
        <v>1744</v>
      </c>
      <c r="I123" s="1" t="s">
        <v>1545</v>
      </c>
      <c r="J123" s="1" t="s">
        <v>1546</v>
      </c>
      <c r="K123" s="1" t="s">
        <v>62</v>
      </c>
      <c r="L123" s="1" t="s">
        <v>1745</v>
      </c>
      <c r="M123" s="1" t="s">
        <v>1746</v>
      </c>
      <c r="N123" s="1" t="s">
        <v>1747</v>
      </c>
    </row>
    <row r="124" spans="1:14" x14ac:dyDescent="0.25">
      <c r="A124" s="1" t="s">
        <v>10</v>
      </c>
      <c r="B124" s="1" t="str">
        <f t="shared" si="1"/>
        <v>Defaultchn02-bjs139.219.16.0WrongAddressSpace</v>
      </c>
      <c r="C124" t="e">
        <f>VLOOKUP($B124, comment!$B$2:$C$401, 2, FALSE)</f>
        <v>#N/A</v>
      </c>
      <c r="D124" s="1" t="s">
        <v>1947</v>
      </c>
      <c r="E124" s="1" t="s">
        <v>1440</v>
      </c>
      <c r="F124" s="1" t="s">
        <v>1441</v>
      </c>
      <c r="G124" s="1" t="s">
        <v>1989</v>
      </c>
      <c r="H124" s="1" t="s">
        <v>1751</v>
      </c>
      <c r="I124" s="1"/>
      <c r="J124" s="1"/>
      <c r="K124" s="1" t="s">
        <v>1444</v>
      </c>
      <c r="L124" s="1" t="s">
        <v>1445</v>
      </c>
      <c r="M124" s="1" t="s">
        <v>1752</v>
      </c>
      <c r="N124" s="1" t="s">
        <v>1753</v>
      </c>
    </row>
    <row r="125" spans="1:14" x14ac:dyDescent="0.25">
      <c r="A125" s="1" t="s">
        <v>10</v>
      </c>
      <c r="B125" s="1" t="str">
        <f t="shared" si="1"/>
        <v>Defaultgallatin-w15-bjb42.159.36.39WrongAddressSpace</v>
      </c>
      <c r="C125" t="e">
        <f>VLOOKUP($B125, comment!$B$2:$C$401, 2, FALSE)</f>
        <v>#N/A</v>
      </c>
      <c r="D125" s="1" t="s">
        <v>1379</v>
      </c>
      <c r="E125" s="1" t="s">
        <v>1420</v>
      </c>
      <c r="F125" s="1" t="s">
        <v>1418</v>
      </c>
      <c r="G125" s="1" t="s">
        <v>1968</v>
      </c>
      <c r="H125" s="1" t="s">
        <v>1748</v>
      </c>
      <c r="I125" s="1"/>
      <c r="J125" s="1"/>
      <c r="K125" s="1" t="s">
        <v>1444</v>
      </c>
      <c r="L125" s="1" t="s">
        <v>1445</v>
      </c>
      <c r="M125" s="1" t="s">
        <v>1749</v>
      </c>
      <c r="N125" s="1" t="s">
        <v>1750</v>
      </c>
    </row>
    <row r="126" spans="1:14" x14ac:dyDescent="0.25">
      <c r="A126" s="1" t="s">
        <v>10</v>
      </c>
      <c r="B126" s="1" t="str">
        <f t="shared" si="1"/>
        <v>Defaultnam04-sn125.154.32.61Obsolete</v>
      </c>
      <c r="C126" t="str">
        <f>VLOOKUP($B126, comment!$B$2:$C$401, 2, FALSE)</f>
        <v>delete</v>
      </c>
      <c r="D126" s="1" t="s">
        <v>160</v>
      </c>
      <c r="E126" s="1" t="s">
        <v>1755</v>
      </c>
      <c r="F126" s="1" t="s">
        <v>1660</v>
      </c>
      <c r="G126" s="1" t="s">
        <v>161</v>
      </c>
      <c r="H126" s="1" t="s">
        <v>162</v>
      </c>
      <c r="I126" s="1" t="s">
        <v>163</v>
      </c>
      <c r="J126" s="1" t="s">
        <v>164</v>
      </c>
      <c r="K126" s="1" t="s">
        <v>39</v>
      </c>
      <c r="L126" s="1" t="s">
        <v>40</v>
      </c>
      <c r="M126" s="1"/>
      <c r="N126" s="1" t="s">
        <v>1756</v>
      </c>
    </row>
    <row r="127" spans="1:14" x14ac:dyDescent="0.25">
      <c r="A127" s="1" t="s">
        <v>10</v>
      </c>
      <c r="B127" s="1" t="str">
        <f t="shared" si="1"/>
        <v>Defaultsap01-ps12a01:111:e400:fc84::InvalidRegion</v>
      </c>
      <c r="C127" t="e">
        <f>VLOOKUP($B127, comment!$B$2:$C$401, 2, FALSE)</f>
        <v>#N/A</v>
      </c>
      <c r="D127" s="1" t="s">
        <v>1261</v>
      </c>
      <c r="E127" s="1" t="s">
        <v>1508</v>
      </c>
      <c r="F127" s="1" t="s">
        <v>1509</v>
      </c>
      <c r="G127" s="1" t="s">
        <v>1275</v>
      </c>
      <c r="H127" s="1" t="s">
        <v>1276</v>
      </c>
      <c r="I127" s="1" t="s">
        <v>968</v>
      </c>
      <c r="J127" s="1" t="s">
        <v>1264</v>
      </c>
      <c r="K127" s="1" t="s">
        <v>1427</v>
      </c>
      <c r="L127" s="1" t="s">
        <v>1940</v>
      </c>
      <c r="M127" s="1" t="s">
        <v>1277</v>
      </c>
      <c r="N127" s="1" t="s">
        <v>1758</v>
      </c>
    </row>
    <row r="128" spans="1:14" x14ac:dyDescent="0.25">
      <c r="A128" s="1" t="s">
        <v>10</v>
      </c>
      <c r="B128" s="1" t="str">
        <f t="shared" si="1"/>
        <v>Defaultsap01-pu12a01:111:e401:84::InvalidRegion</v>
      </c>
      <c r="C128" t="e">
        <f>VLOOKUP($B128, comment!$B$2:$C$401, 2, FALSE)</f>
        <v>#N/A</v>
      </c>
      <c r="D128" s="1" t="s">
        <v>174</v>
      </c>
      <c r="E128" s="1" t="s">
        <v>1508</v>
      </c>
      <c r="F128" s="1" t="s">
        <v>1424</v>
      </c>
      <c r="G128" s="1" t="s">
        <v>1760</v>
      </c>
      <c r="H128" s="1" t="s">
        <v>1761</v>
      </c>
      <c r="I128" s="1" t="s">
        <v>968</v>
      </c>
      <c r="J128" s="1" t="s">
        <v>1264</v>
      </c>
      <c r="K128" s="1" t="s">
        <v>1427</v>
      </c>
      <c r="L128" s="1" t="s">
        <v>1940</v>
      </c>
      <c r="M128" s="1" t="s">
        <v>1762</v>
      </c>
      <c r="N128" s="1" t="s">
        <v>1763</v>
      </c>
    </row>
    <row r="129" spans="1:14" x14ac:dyDescent="0.25">
      <c r="A129" s="1" t="s">
        <v>1523</v>
      </c>
      <c r="B129" s="1" t="str">
        <f t="shared" si="1"/>
        <v>GalaCakegallatin-bjb139.219.17.0MismatchedDcName</v>
      </c>
      <c r="C129" t="e">
        <f>VLOOKUP($B129, comment!$B$2:$C$401, 2, FALSE)</f>
        <v>#N/A</v>
      </c>
      <c r="D129" s="1" t="s">
        <v>1360</v>
      </c>
      <c r="E129" s="1" t="s">
        <v>1417</v>
      </c>
      <c r="F129" s="1" t="s">
        <v>1418</v>
      </c>
      <c r="G129" s="1" t="s">
        <v>1765</v>
      </c>
      <c r="H129" s="1" t="s">
        <v>1766</v>
      </c>
      <c r="I129" s="1" t="s">
        <v>1537</v>
      </c>
      <c r="J129" s="1" t="s">
        <v>1538</v>
      </c>
      <c r="K129" s="1" t="s">
        <v>17</v>
      </c>
      <c r="L129" s="1" t="s">
        <v>1539</v>
      </c>
      <c r="M129" s="1" t="s">
        <v>1767</v>
      </c>
      <c r="N129" s="1" t="s">
        <v>1768</v>
      </c>
    </row>
    <row r="130" spans="1:14" x14ac:dyDescent="0.25">
      <c r="A130" s="1" t="s">
        <v>10</v>
      </c>
      <c r="B130" s="1" t="str">
        <f t="shared" ref="B130:B193" si="2">A130&amp;D130&amp;G130&amp;K130</f>
        <v>Defaultgallatin-sha10.41.146.0WrongAddressSpace</v>
      </c>
      <c r="C130" t="e">
        <f>VLOOKUP($B130, comment!$B$2:$C$401, 2, FALSE)</f>
        <v>#N/A</v>
      </c>
      <c r="D130" s="1" t="s">
        <v>1366</v>
      </c>
      <c r="E130" s="1" t="s">
        <v>1417</v>
      </c>
      <c r="F130" s="1" t="s">
        <v>1455</v>
      </c>
      <c r="G130" s="1" t="s">
        <v>1373</v>
      </c>
      <c r="H130" s="1" t="s">
        <v>1374</v>
      </c>
      <c r="I130" s="1"/>
      <c r="J130" s="1" t="s">
        <v>150</v>
      </c>
      <c r="K130" s="1" t="s">
        <v>1444</v>
      </c>
      <c r="L130" s="1" t="s">
        <v>1445</v>
      </c>
      <c r="M130" s="1" t="s">
        <v>1375</v>
      </c>
      <c r="N130" s="1" t="s">
        <v>1769</v>
      </c>
    </row>
    <row r="131" spans="1:14" x14ac:dyDescent="0.25">
      <c r="A131" s="1" t="s">
        <v>10</v>
      </c>
      <c r="B131" s="1" t="str">
        <f t="shared" si="2"/>
        <v>Defaultgallatin-sha10.41.146.0EmptyDatacenter</v>
      </c>
      <c r="C131" t="e">
        <f>VLOOKUP($B131, comment!$B$2:$C$401, 2, FALSE)</f>
        <v>#N/A</v>
      </c>
      <c r="D131" s="1" t="s">
        <v>1366</v>
      </c>
      <c r="E131" s="1" t="s">
        <v>1417</v>
      </c>
      <c r="F131" s="1" t="s">
        <v>1455</v>
      </c>
      <c r="G131" s="1" t="s">
        <v>1373</v>
      </c>
      <c r="H131" s="1" t="s">
        <v>1374</v>
      </c>
      <c r="I131" s="1"/>
      <c r="J131" s="1" t="s">
        <v>150</v>
      </c>
      <c r="K131" s="1" t="s">
        <v>31</v>
      </c>
      <c r="L131" s="1" t="s">
        <v>1450</v>
      </c>
      <c r="M131" s="1" t="s">
        <v>1375</v>
      </c>
      <c r="N131" s="1" t="s">
        <v>1769</v>
      </c>
    </row>
    <row r="132" spans="1:14" x14ac:dyDescent="0.25">
      <c r="A132" s="1" t="s">
        <v>10</v>
      </c>
      <c r="B132" s="1" t="str">
        <f t="shared" si="2"/>
        <v>Defaultgtm-syncgroup02-sg225.154.125.61Obsolete</v>
      </c>
      <c r="C132" t="str">
        <f>VLOOKUP($B132, comment!$B$2:$C$401, 2, FALSE)</f>
        <v>delete</v>
      </c>
      <c r="D132" s="1" t="s">
        <v>126</v>
      </c>
      <c r="E132" s="1" t="s">
        <v>1617</v>
      </c>
      <c r="F132" s="1" t="s">
        <v>1726</v>
      </c>
      <c r="G132" s="1" t="s">
        <v>127</v>
      </c>
      <c r="H132" s="1" t="s">
        <v>128</v>
      </c>
      <c r="I132" s="1" t="s">
        <v>129</v>
      </c>
      <c r="J132" s="1" t="s">
        <v>130</v>
      </c>
      <c r="K132" s="1" t="s">
        <v>39</v>
      </c>
      <c r="L132" s="1" t="s">
        <v>40</v>
      </c>
      <c r="M132" s="1"/>
      <c r="N132" s="1" t="s">
        <v>1771</v>
      </c>
    </row>
    <row r="133" spans="1:14" x14ac:dyDescent="0.25">
      <c r="A133" s="1" t="s">
        <v>10</v>
      </c>
      <c r="B133" s="1" t="str">
        <f t="shared" si="2"/>
        <v>Defaultnam04-sn125.154.32.62Obsolete</v>
      </c>
      <c r="C133" t="str">
        <f>VLOOKUP($B133, comment!$B$2:$C$401, 2, FALSE)</f>
        <v>delete</v>
      </c>
      <c r="D133" s="1" t="s">
        <v>160</v>
      </c>
      <c r="E133" s="1" t="s">
        <v>1755</v>
      </c>
      <c r="F133" s="1" t="s">
        <v>1660</v>
      </c>
      <c r="G133" s="1" t="s">
        <v>165</v>
      </c>
      <c r="H133" s="1" t="s">
        <v>166</v>
      </c>
      <c r="I133" s="1" t="s">
        <v>163</v>
      </c>
      <c r="J133" s="1" t="s">
        <v>164</v>
      </c>
      <c r="K133" s="1" t="s">
        <v>39</v>
      </c>
      <c r="L133" s="1" t="s">
        <v>40</v>
      </c>
      <c r="M133" s="1"/>
      <c r="N133" s="1" t="s">
        <v>1770</v>
      </c>
    </row>
    <row r="134" spans="1:14" x14ac:dyDescent="0.25">
      <c r="A134" s="1" t="s">
        <v>10</v>
      </c>
      <c r="B134" s="1" t="str">
        <f t="shared" si="2"/>
        <v>Defaultsap01-ps140.94.227.0InvalidRegion</v>
      </c>
      <c r="C134" t="e">
        <f>VLOOKUP($B134, comment!$B$2:$C$401, 2, FALSE)</f>
        <v>#N/A</v>
      </c>
      <c r="D134" s="1" t="s">
        <v>1261</v>
      </c>
      <c r="E134" s="1" t="s">
        <v>1508</v>
      </c>
      <c r="F134" s="1" t="s">
        <v>1509</v>
      </c>
      <c r="G134" s="1" t="s">
        <v>1776</v>
      </c>
      <c r="H134" s="1" t="s">
        <v>1777</v>
      </c>
      <c r="I134" s="1" t="s">
        <v>968</v>
      </c>
      <c r="J134" s="1" t="s">
        <v>1264</v>
      </c>
      <c r="K134" s="1" t="s">
        <v>1427</v>
      </c>
      <c r="L134" s="1" t="s">
        <v>1940</v>
      </c>
      <c r="M134" s="1" t="s">
        <v>1281</v>
      </c>
      <c r="N134" s="1" t="s">
        <v>1778</v>
      </c>
    </row>
    <row r="135" spans="1:14" x14ac:dyDescent="0.25">
      <c r="A135" s="1" t="s">
        <v>10</v>
      </c>
      <c r="B135" s="1" t="str">
        <f t="shared" si="2"/>
        <v>Defaultsap01-pu140.107.226.0InvalidRegion</v>
      </c>
      <c r="C135" t="e">
        <f>VLOOKUP($B135, comment!$B$2:$C$401, 2, FALSE)</f>
        <v>#N/A</v>
      </c>
      <c r="D135" s="1" t="s">
        <v>174</v>
      </c>
      <c r="E135" s="1" t="s">
        <v>1508</v>
      </c>
      <c r="F135" s="1" t="s">
        <v>1424</v>
      </c>
      <c r="G135" s="1" t="s">
        <v>1278</v>
      </c>
      <c r="H135" s="1" t="s">
        <v>1279</v>
      </c>
      <c r="I135" s="1" t="s">
        <v>968</v>
      </c>
      <c r="J135" s="1" t="s">
        <v>1264</v>
      </c>
      <c r="K135" s="1" t="s">
        <v>1427</v>
      </c>
      <c r="L135" s="1" t="s">
        <v>1940</v>
      </c>
      <c r="M135" s="1" t="s">
        <v>1773</v>
      </c>
      <c r="N135" s="1" t="s">
        <v>1774</v>
      </c>
    </row>
    <row r="136" spans="1:14" x14ac:dyDescent="0.25">
      <c r="A136" s="1" t="s">
        <v>10</v>
      </c>
      <c r="B136" s="1" t="str">
        <f t="shared" si="2"/>
        <v>Defaultscn01-sh010.12.32.0WrongAddressSpace</v>
      </c>
      <c r="C136" t="e">
        <f>VLOOKUP($B136, comment!$B$2:$C$401, 2, FALSE)</f>
        <v>#N/A</v>
      </c>
      <c r="D136" s="1" t="s">
        <v>1398</v>
      </c>
      <c r="E136" s="1" t="s">
        <v>1512</v>
      </c>
      <c r="F136" s="1" t="s">
        <v>1448</v>
      </c>
      <c r="G136" s="1" t="s">
        <v>1407</v>
      </c>
      <c r="H136" s="1" t="s">
        <v>1408</v>
      </c>
      <c r="I136" s="1" t="s">
        <v>1401</v>
      </c>
      <c r="J136" s="1" t="s">
        <v>123</v>
      </c>
      <c r="K136" s="1" t="s">
        <v>1444</v>
      </c>
      <c r="L136" s="1" t="s">
        <v>1445</v>
      </c>
      <c r="M136" s="1" t="s">
        <v>1409</v>
      </c>
      <c r="N136" s="1" t="s">
        <v>1775</v>
      </c>
    </row>
    <row r="137" spans="1:14" x14ac:dyDescent="0.25">
      <c r="A137" s="1" t="s">
        <v>10</v>
      </c>
      <c r="B137" s="1" t="str">
        <f t="shared" si="2"/>
        <v>Defaultscn01-sh010.12.32.0MismatchedDcName</v>
      </c>
      <c r="C137" t="e">
        <f>VLOOKUP($B137, comment!$B$2:$C$401, 2, FALSE)</f>
        <v>#N/A</v>
      </c>
      <c r="D137" s="1" t="s">
        <v>1398</v>
      </c>
      <c r="E137" s="1" t="s">
        <v>1512</v>
      </c>
      <c r="F137" s="1" t="s">
        <v>1448</v>
      </c>
      <c r="G137" s="1" t="s">
        <v>1407</v>
      </c>
      <c r="H137" s="1" t="s">
        <v>1408</v>
      </c>
      <c r="I137" s="1" t="s">
        <v>1401</v>
      </c>
      <c r="J137" s="1" t="s">
        <v>123</v>
      </c>
      <c r="K137" s="1" t="s">
        <v>17</v>
      </c>
      <c r="L137" s="1" t="s">
        <v>1402</v>
      </c>
      <c r="M137" s="1" t="s">
        <v>1409</v>
      </c>
      <c r="N137" s="1" t="s">
        <v>1775</v>
      </c>
    </row>
    <row r="138" spans="1:14" x14ac:dyDescent="0.25">
      <c r="A138" s="1" t="s">
        <v>10</v>
      </c>
      <c r="B138" s="1" t="str">
        <f t="shared" si="2"/>
        <v>Defaultsit01-ph210.40.104.0EmptyDatacenter</v>
      </c>
      <c r="C138" t="str">
        <f>VLOOKUP($B138, comment!$B$2:$C$401, 2, FALSE)</f>
        <v>Valid</v>
      </c>
      <c r="D138" s="1" t="s">
        <v>211</v>
      </c>
      <c r="E138" s="1" t="s">
        <v>1779</v>
      </c>
      <c r="F138" s="1" t="s">
        <v>1780</v>
      </c>
      <c r="G138" s="1" t="s">
        <v>1162</v>
      </c>
      <c r="H138" s="1" t="s">
        <v>1163</v>
      </c>
      <c r="I138" s="1"/>
      <c r="J138" s="1" t="s">
        <v>1164</v>
      </c>
      <c r="K138" s="1" t="s">
        <v>31</v>
      </c>
      <c r="L138" s="1" t="s">
        <v>1450</v>
      </c>
      <c r="M138" s="1" t="s">
        <v>1165</v>
      </c>
      <c r="N138" s="1" t="s">
        <v>1781</v>
      </c>
    </row>
    <row r="139" spans="1:14" x14ac:dyDescent="0.25">
      <c r="A139" s="1" t="s">
        <v>1523</v>
      </c>
      <c r="B139" s="1" t="str">
        <f t="shared" si="2"/>
        <v>GalaCakegallatin-bjb10.41.85.0InvalidTitle</v>
      </c>
      <c r="C139" t="e">
        <f>VLOOKUP($B139, comment!$B$2:$C$401, 2, FALSE)</f>
        <v>#N/A</v>
      </c>
      <c r="D139" s="1" t="s">
        <v>1360</v>
      </c>
      <c r="E139" s="1" t="s">
        <v>1417</v>
      </c>
      <c r="F139" s="1" t="s">
        <v>1418</v>
      </c>
      <c r="G139" s="1" t="s">
        <v>1782</v>
      </c>
      <c r="H139" s="1" t="s">
        <v>1783</v>
      </c>
      <c r="I139" s="1" t="s">
        <v>1545</v>
      </c>
      <c r="J139" s="1" t="s">
        <v>1546</v>
      </c>
      <c r="K139" s="1" t="s">
        <v>62</v>
      </c>
      <c r="L139" s="1" t="s">
        <v>1745</v>
      </c>
      <c r="M139" s="1" t="s">
        <v>1784</v>
      </c>
      <c r="N139" s="1" t="s">
        <v>1785</v>
      </c>
    </row>
    <row r="140" spans="1:14" x14ac:dyDescent="0.25">
      <c r="A140" s="1" t="s">
        <v>1523</v>
      </c>
      <c r="B140" s="1" t="str">
        <f t="shared" si="2"/>
        <v>GalaCakegallatin-sha10.41.146.0InvalidTitle</v>
      </c>
      <c r="C140" t="e">
        <f>VLOOKUP($B140, comment!$B$2:$C$401, 2, FALSE)</f>
        <v>#N/A</v>
      </c>
      <c r="D140" s="1" t="s">
        <v>1366</v>
      </c>
      <c r="E140" s="1" t="s">
        <v>1417</v>
      </c>
      <c r="F140" s="1" t="s">
        <v>1455</v>
      </c>
      <c r="G140" s="1" t="s">
        <v>1373</v>
      </c>
      <c r="H140" s="1" t="s">
        <v>1970</v>
      </c>
      <c r="I140" s="1" t="s">
        <v>1743</v>
      </c>
      <c r="J140" s="1" t="s">
        <v>1550</v>
      </c>
      <c r="K140" s="1" t="s">
        <v>62</v>
      </c>
      <c r="L140" s="1" t="s">
        <v>1971</v>
      </c>
      <c r="M140" s="1" t="s">
        <v>1972</v>
      </c>
      <c r="N140" s="1" t="s">
        <v>1973</v>
      </c>
    </row>
    <row r="141" spans="1:14" x14ac:dyDescent="0.25">
      <c r="A141" s="1" t="s">
        <v>1565</v>
      </c>
      <c r="B141" s="1" t="str">
        <f t="shared" si="2"/>
        <v>EXscn01-bjs10.10.32.0WrongAddressSpace</v>
      </c>
      <c r="C141" t="e">
        <f>VLOOKUP($B141, comment!$B$2:$C$401, 2, FALSE)</f>
        <v>#N/A</v>
      </c>
      <c r="D141" s="1" t="s">
        <v>1393</v>
      </c>
      <c r="E141" s="1" t="s">
        <v>1512</v>
      </c>
      <c r="F141" s="1" t="s">
        <v>1441</v>
      </c>
      <c r="G141" s="1" t="s">
        <v>1786</v>
      </c>
      <c r="H141" s="1" t="s">
        <v>1787</v>
      </c>
      <c r="I141" s="1"/>
      <c r="J141" s="1"/>
      <c r="K141" s="1" t="s">
        <v>1444</v>
      </c>
      <c r="L141" s="1" t="s">
        <v>1445</v>
      </c>
      <c r="M141" s="1" t="s">
        <v>1788</v>
      </c>
      <c r="N141" s="1" t="s">
        <v>1789</v>
      </c>
    </row>
    <row r="142" spans="1:14" x14ac:dyDescent="0.25">
      <c r="A142" s="1" t="s">
        <v>10</v>
      </c>
      <c r="B142" s="1" t="str">
        <f t="shared" si="2"/>
        <v>Defaultapc01-pu125.154.126.0InvalidRegion</v>
      </c>
      <c r="C142" t="e">
        <f>VLOOKUP($B142, comment!$B$2:$C$401, 2, FALSE)</f>
        <v>#N/A</v>
      </c>
      <c r="D142" s="1" t="s">
        <v>1946</v>
      </c>
      <c r="E142" s="1" t="s">
        <v>1423</v>
      </c>
      <c r="F142" s="1" t="s">
        <v>1424</v>
      </c>
      <c r="G142" s="1" t="s">
        <v>1790</v>
      </c>
      <c r="H142" s="1" t="s">
        <v>1791</v>
      </c>
      <c r="I142" s="1" t="s">
        <v>968</v>
      </c>
      <c r="J142" s="1" t="s">
        <v>1264</v>
      </c>
      <c r="K142" s="1" t="s">
        <v>1427</v>
      </c>
      <c r="L142" s="1" t="s">
        <v>1940</v>
      </c>
      <c r="M142" s="1" t="s">
        <v>1792</v>
      </c>
      <c r="N142" s="1" t="s">
        <v>1793</v>
      </c>
    </row>
    <row r="143" spans="1:14" x14ac:dyDescent="0.25">
      <c r="A143" s="1" t="s">
        <v>10</v>
      </c>
      <c r="B143" s="1" t="str">
        <f t="shared" si="2"/>
        <v>Defaultgallatin-sha10.41.148.0WrongAddressSpace</v>
      </c>
      <c r="C143" t="e">
        <f>VLOOKUP($B143, comment!$B$2:$C$401, 2, FALSE)</f>
        <v>#N/A</v>
      </c>
      <c r="D143" s="1" t="s">
        <v>1366</v>
      </c>
      <c r="E143" s="1" t="s">
        <v>1417</v>
      </c>
      <c r="F143" s="1" t="s">
        <v>1455</v>
      </c>
      <c r="G143" s="1" t="s">
        <v>1376</v>
      </c>
      <c r="H143" s="1" t="s">
        <v>1377</v>
      </c>
      <c r="I143" s="1"/>
      <c r="J143" s="1" t="s">
        <v>150</v>
      </c>
      <c r="K143" s="1" t="s">
        <v>1444</v>
      </c>
      <c r="L143" s="1" t="s">
        <v>1445</v>
      </c>
      <c r="M143" s="1" t="s">
        <v>1378</v>
      </c>
      <c r="N143" s="1" t="s">
        <v>1794</v>
      </c>
    </row>
    <row r="144" spans="1:14" x14ac:dyDescent="0.25">
      <c r="A144" s="1" t="s">
        <v>10</v>
      </c>
      <c r="B144" s="1" t="str">
        <f t="shared" si="2"/>
        <v>Defaultgallatin-sha10.41.148.0EmptyDatacenter</v>
      </c>
      <c r="C144" t="e">
        <f>VLOOKUP($B144, comment!$B$2:$C$401, 2, FALSE)</f>
        <v>#N/A</v>
      </c>
      <c r="D144" s="1" t="s">
        <v>1366</v>
      </c>
      <c r="E144" s="1" t="s">
        <v>1417</v>
      </c>
      <c r="F144" s="1" t="s">
        <v>1455</v>
      </c>
      <c r="G144" s="1" t="s">
        <v>1376</v>
      </c>
      <c r="H144" s="1" t="s">
        <v>1377</v>
      </c>
      <c r="I144" s="1"/>
      <c r="J144" s="1" t="s">
        <v>150</v>
      </c>
      <c r="K144" s="1" t="s">
        <v>31</v>
      </c>
      <c r="L144" s="1" t="s">
        <v>1450</v>
      </c>
      <c r="M144" s="1" t="s">
        <v>1378</v>
      </c>
      <c r="N144" s="1" t="s">
        <v>1794</v>
      </c>
    </row>
    <row r="145" spans="1:14" x14ac:dyDescent="0.25">
      <c r="A145" s="1" t="s">
        <v>10</v>
      </c>
      <c r="B145" s="1" t="str">
        <f t="shared" si="2"/>
        <v>Defaultgtm-syncgroup02-sg225.154.125.62Obsolete</v>
      </c>
      <c r="C145" t="str">
        <f>VLOOKUP($B145, comment!$B$2:$C$401, 2, FALSE)</f>
        <v>delete</v>
      </c>
      <c r="D145" s="1" t="s">
        <v>126</v>
      </c>
      <c r="E145" s="1" t="s">
        <v>1617</v>
      </c>
      <c r="F145" s="1" t="s">
        <v>1726</v>
      </c>
      <c r="G145" s="1" t="s">
        <v>131</v>
      </c>
      <c r="H145" s="1" t="s">
        <v>132</v>
      </c>
      <c r="I145" s="1" t="s">
        <v>129</v>
      </c>
      <c r="J145" s="1" t="s">
        <v>130</v>
      </c>
      <c r="K145" s="1" t="s">
        <v>39</v>
      </c>
      <c r="L145" s="1" t="s">
        <v>40</v>
      </c>
      <c r="M145" s="1"/>
      <c r="N145" s="1" t="s">
        <v>1799</v>
      </c>
    </row>
    <row r="146" spans="1:14" x14ac:dyDescent="0.25">
      <c r="A146" s="1" t="s">
        <v>10</v>
      </c>
      <c r="B146" s="1" t="str">
        <f t="shared" si="2"/>
        <v>Defaultgtm-syncgroup01-db525.154.2.61Obsolete</v>
      </c>
      <c r="C146" t="str">
        <f>VLOOKUP($B146, comment!$B$2:$C$401, 2, FALSE)</f>
        <v>delete</v>
      </c>
      <c r="D146" s="1" t="s">
        <v>101</v>
      </c>
      <c r="E146" s="1" t="s">
        <v>1757</v>
      </c>
      <c r="F146" s="1" t="s">
        <v>1661</v>
      </c>
      <c r="G146" s="1" t="s">
        <v>102</v>
      </c>
      <c r="H146" s="1" t="s">
        <v>103</v>
      </c>
      <c r="I146" s="1" t="s">
        <v>104</v>
      </c>
      <c r="J146" s="1" t="s">
        <v>105</v>
      </c>
      <c r="K146" s="1" t="s">
        <v>39</v>
      </c>
      <c r="L146" s="1" t="s">
        <v>40</v>
      </c>
      <c r="M146" s="1"/>
      <c r="N146" s="1" t="s">
        <v>1814</v>
      </c>
    </row>
    <row r="147" spans="1:14" x14ac:dyDescent="0.25">
      <c r="A147" s="1" t="s">
        <v>10</v>
      </c>
      <c r="B147" s="1" t="str">
        <f t="shared" si="2"/>
        <v>Defaultgtm-syncgroup01-by225.154.34.61Obsolete</v>
      </c>
      <c r="C147" t="str">
        <f>VLOOKUP($B147, comment!$B$2:$C$401, 2, FALSE)</f>
        <v>delete</v>
      </c>
      <c r="D147" s="1" t="s">
        <v>94</v>
      </c>
      <c r="E147" s="1" t="s">
        <v>1757</v>
      </c>
      <c r="F147" s="1" t="s">
        <v>1579</v>
      </c>
      <c r="G147" s="1" t="s">
        <v>95</v>
      </c>
      <c r="H147" s="1" t="s">
        <v>96</v>
      </c>
      <c r="I147" s="1" t="s">
        <v>97</v>
      </c>
      <c r="J147" s="1" t="s">
        <v>98</v>
      </c>
      <c r="K147" s="1" t="s">
        <v>39</v>
      </c>
      <c r="L147" s="1" t="s">
        <v>40</v>
      </c>
      <c r="M147" s="1"/>
      <c r="N147" s="1" t="s">
        <v>1798</v>
      </c>
    </row>
    <row r="148" spans="1:14" x14ac:dyDescent="0.25">
      <c r="A148" s="1" t="s">
        <v>10</v>
      </c>
      <c r="B148" s="1" t="str">
        <f t="shared" si="2"/>
        <v>Defaultsap01-pu125.154.124.61Obsolete</v>
      </c>
      <c r="C148" t="e">
        <f>VLOOKUP($B148, comment!$B$2:$C$401, 2, FALSE)</f>
        <v>#N/A</v>
      </c>
      <c r="D148" s="1" t="s">
        <v>174</v>
      </c>
      <c r="E148" s="1" t="s">
        <v>1508</v>
      </c>
      <c r="F148" s="1" t="s">
        <v>1424</v>
      </c>
      <c r="G148" s="1" t="s">
        <v>109</v>
      </c>
      <c r="H148" s="1" t="s">
        <v>110</v>
      </c>
      <c r="I148" s="1" t="s">
        <v>111</v>
      </c>
      <c r="J148" s="1" t="s">
        <v>112</v>
      </c>
      <c r="K148" s="1" t="s">
        <v>39</v>
      </c>
      <c r="L148" s="1" t="s">
        <v>40</v>
      </c>
      <c r="M148" s="1"/>
      <c r="N148" s="1" t="s">
        <v>1797</v>
      </c>
    </row>
    <row r="149" spans="1:14" x14ac:dyDescent="0.25">
      <c r="A149" s="1" t="s">
        <v>10</v>
      </c>
      <c r="B149" s="1" t="str">
        <f t="shared" si="2"/>
        <v>Defaultsfr01-mr22001:489a:203:4d::MismatchedDcName</v>
      </c>
      <c r="C149" t="str">
        <f>VLOOKUP($B149, comment!$B$2:$C$401, 2, FALSE)</f>
        <v>Valid</v>
      </c>
      <c r="D149" s="1" t="s">
        <v>1158</v>
      </c>
      <c r="E149" s="1" t="s">
        <v>1721</v>
      </c>
      <c r="F149" s="1" t="s">
        <v>1722</v>
      </c>
      <c r="G149" s="1" t="s">
        <v>1186</v>
      </c>
      <c r="H149" s="1" t="s">
        <v>1187</v>
      </c>
      <c r="I149" s="1" t="s">
        <v>88</v>
      </c>
      <c r="J149" s="1"/>
      <c r="K149" s="1" t="s">
        <v>17</v>
      </c>
      <c r="L149" s="1" t="s">
        <v>1188</v>
      </c>
      <c r="M149" s="1" t="s">
        <v>1189</v>
      </c>
      <c r="N149" s="1" t="s">
        <v>1802</v>
      </c>
    </row>
    <row r="150" spans="1:14" x14ac:dyDescent="0.25">
      <c r="A150" s="1" t="s">
        <v>1523</v>
      </c>
      <c r="B150" s="1" t="str">
        <f t="shared" si="2"/>
        <v>GalaCakegallatin-bjb10.41.87.0InvalidTitle</v>
      </c>
      <c r="C150" t="e">
        <f>VLOOKUP($B150, comment!$B$2:$C$401, 2, FALSE)</f>
        <v>#N/A</v>
      </c>
      <c r="D150" s="1" t="s">
        <v>1360</v>
      </c>
      <c r="E150" s="1" t="s">
        <v>1417</v>
      </c>
      <c r="F150" s="1" t="s">
        <v>1418</v>
      </c>
      <c r="G150" s="1" t="s">
        <v>1803</v>
      </c>
      <c r="H150" s="1" t="s">
        <v>1804</v>
      </c>
      <c r="I150" s="1" t="s">
        <v>1545</v>
      </c>
      <c r="J150" s="1" t="s">
        <v>1546</v>
      </c>
      <c r="K150" s="1" t="s">
        <v>62</v>
      </c>
      <c r="L150" s="1" t="s">
        <v>1745</v>
      </c>
      <c r="M150" s="1" t="s">
        <v>1784</v>
      </c>
      <c r="N150" s="1" t="s">
        <v>1805</v>
      </c>
    </row>
    <row r="151" spans="1:14" x14ac:dyDescent="0.25">
      <c r="A151" s="1" t="s">
        <v>1523</v>
      </c>
      <c r="B151" s="1" t="str">
        <f t="shared" si="2"/>
        <v>GalaCakegallatin-sha10.41.148.0InvalidTitle</v>
      </c>
      <c r="C151" t="e">
        <f>VLOOKUP($B151, comment!$B$2:$C$401, 2, FALSE)</f>
        <v>#N/A</v>
      </c>
      <c r="D151" s="1" t="s">
        <v>1366</v>
      </c>
      <c r="E151" s="1" t="s">
        <v>1417</v>
      </c>
      <c r="F151" s="1" t="s">
        <v>1455</v>
      </c>
      <c r="G151" s="1" t="s">
        <v>1376</v>
      </c>
      <c r="H151" s="1" t="s">
        <v>1974</v>
      </c>
      <c r="I151" s="1" t="s">
        <v>1743</v>
      </c>
      <c r="J151" s="1" t="s">
        <v>1550</v>
      </c>
      <c r="K151" s="1" t="s">
        <v>62</v>
      </c>
      <c r="L151" s="1" t="s">
        <v>1971</v>
      </c>
      <c r="M151" s="1" t="s">
        <v>1972</v>
      </c>
      <c r="N151" s="1" t="s">
        <v>1975</v>
      </c>
    </row>
    <row r="152" spans="1:14" x14ac:dyDescent="0.25">
      <c r="A152" s="1" t="s">
        <v>10</v>
      </c>
      <c r="B152" s="1" t="str">
        <f t="shared" si="2"/>
        <v>Defaultaus01-sy365.55.88.160EmptyDatacenter</v>
      </c>
      <c r="C152" t="str">
        <f>VLOOKUP($B152, comment!$B$2:$C$401, 2, FALSE)</f>
        <v>Valid</v>
      </c>
      <c r="D152" s="1" t="s">
        <v>43</v>
      </c>
      <c r="E152" s="1" t="s">
        <v>1432</v>
      </c>
      <c r="F152" s="1" t="s">
        <v>1433</v>
      </c>
      <c r="G152" s="1" t="s">
        <v>527</v>
      </c>
      <c r="H152" s="1" t="s">
        <v>528</v>
      </c>
      <c r="I152" s="1"/>
      <c r="J152" s="1"/>
      <c r="K152" s="1" t="s">
        <v>31</v>
      </c>
      <c r="L152" s="1" t="s">
        <v>1450</v>
      </c>
      <c r="M152" s="1" t="s">
        <v>529</v>
      </c>
      <c r="N152" s="1" t="s">
        <v>1810</v>
      </c>
    </row>
    <row r="153" spans="1:14" x14ac:dyDescent="0.25">
      <c r="A153" s="1" t="s">
        <v>10</v>
      </c>
      <c r="B153" s="1" t="str">
        <f t="shared" si="2"/>
        <v>Defaultapc01-pu165.55.88.0InvalidRegion</v>
      </c>
      <c r="C153" t="e">
        <f>VLOOKUP($B153, comment!$B$2:$C$401, 2, FALSE)</f>
        <v>#N/A</v>
      </c>
      <c r="D153" s="1" t="s">
        <v>1946</v>
      </c>
      <c r="E153" s="1" t="s">
        <v>1423</v>
      </c>
      <c r="F153" s="1" t="s">
        <v>1424</v>
      </c>
      <c r="G153" s="1" t="s">
        <v>1806</v>
      </c>
      <c r="H153" s="1" t="s">
        <v>1807</v>
      </c>
      <c r="I153" s="1" t="s">
        <v>968</v>
      </c>
      <c r="J153" s="1" t="s">
        <v>1264</v>
      </c>
      <c r="K153" s="1" t="s">
        <v>1427</v>
      </c>
      <c r="L153" s="1" t="s">
        <v>1940</v>
      </c>
      <c r="M153" s="1" t="s">
        <v>1808</v>
      </c>
      <c r="N153" s="1" t="s">
        <v>1809</v>
      </c>
    </row>
    <row r="154" spans="1:14" x14ac:dyDescent="0.25">
      <c r="A154" s="1" t="s">
        <v>10</v>
      </c>
      <c r="B154" s="1" t="str">
        <f t="shared" si="2"/>
        <v>Defaultgtm-syncgroup01-bl225.154.38.61Obsolete</v>
      </c>
      <c r="C154" t="str">
        <f>VLOOKUP($B154, comment!$B$2:$C$401, 2, FALSE)</f>
        <v>delete</v>
      </c>
      <c r="D154" s="1" t="s">
        <v>89</v>
      </c>
      <c r="E154" s="1" t="s">
        <v>1757</v>
      </c>
      <c r="F154" s="1" t="s">
        <v>1772</v>
      </c>
      <c r="G154" s="1" t="s">
        <v>90</v>
      </c>
      <c r="H154" s="1" t="s">
        <v>91</v>
      </c>
      <c r="I154" s="1" t="s">
        <v>23</v>
      </c>
      <c r="J154" s="1" t="s">
        <v>24</v>
      </c>
      <c r="K154" s="1" t="s">
        <v>39</v>
      </c>
      <c r="L154" s="1" t="s">
        <v>40</v>
      </c>
      <c r="M154" s="1"/>
      <c r="N154" s="1" t="s">
        <v>1795</v>
      </c>
    </row>
    <row r="155" spans="1:14" x14ac:dyDescent="0.25">
      <c r="A155" s="1" t="s">
        <v>10</v>
      </c>
      <c r="B155" s="1" t="str">
        <f t="shared" si="2"/>
        <v>Defaultgtm-syncgroup01-db525.154.2.62Obsolete</v>
      </c>
      <c r="C155" t="str">
        <f>VLOOKUP($B155, comment!$B$2:$C$401, 2, FALSE)</f>
        <v>delete</v>
      </c>
      <c r="D155" s="1" t="s">
        <v>101</v>
      </c>
      <c r="E155" s="1" t="s">
        <v>1757</v>
      </c>
      <c r="F155" s="1" t="s">
        <v>1661</v>
      </c>
      <c r="G155" s="1" t="s">
        <v>106</v>
      </c>
      <c r="H155" s="1" t="s">
        <v>107</v>
      </c>
      <c r="I155" s="1" t="s">
        <v>104</v>
      </c>
      <c r="J155" s="1" t="s">
        <v>105</v>
      </c>
      <c r="K155" s="1" t="s">
        <v>39</v>
      </c>
      <c r="L155" s="1" t="s">
        <v>40</v>
      </c>
      <c r="M155" s="1"/>
      <c r="N155" s="1" t="s">
        <v>1834</v>
      </c>
    </row>
    <row r="156" spans="1:14" x14ac:dyDescent="0.25">
      <c r="A156" s="1" t="s">
        <v>10</v>
      </c>
      <c r="B156" s="1" t="str">
        <f t="shared" si="2"/>
        <v>Defaultgtm-syncgroup02-am325.154.4.61Obsolete</v>
      </c>
      <c r="C156" t="str">
        <f>VLOOKUP($B156, comment!$B$2:$C$401, 2, FALSE)</f>
        <v>delete</v>
      </c>
      <c r="D156" s="1" t="s">
        <v>113</v>
      </c>
      <c r="E156" s="1" t="s">
        <v>1617</v>
      </c>
      <c r="F156" s="1" t="s">
        <v>1618</v>
      </c>
      <c r="G156" s="1" t="s">
        <v>114</v>
      </c>
      <c r="H156" s="1" t="s">
        <v>115</v>
      </c>
      <c r="I156" s="1" t="s">
        <v>635</v>
      </c>
      <c r="J156" s="1" t="s">
        <v>16</v>
      </c>
      <c r="K156" s="1" t="s">
        <v>39</v>
      </c>
      <c r="L156" s="1" t="s">
        <v>40</v>
      </c>
      <c r="M156" s="1"/>
      <c r="N156" s="1" t="s">
        <v>1815</v>
      </c>
    </row>
    <row r="157" spans="1:14" x14ac:dyDescent="0.25">
      <c r="A157" s="1" t="s">
        <v>10</v>
      </c>
      <c r="B157" s="1" t="str">
        <f t="shared" si="2"/>
        <v>Defaultgtm-syncgroup01-by225.154.34.62Obsolete</v>
      </c>
      <c r="C157" t="str">
        <f>VLOOKUP($B157, comment!$B$2:$C$401, 2, FALSE)</f>
        <v>delete</v>
      </c>
      <c r="D157" s="1" t="s">
        <v>94</v>
      </c>
      <c r="E157" s="1" t="s">
        <v>1757</v>
      </c>
      <c r="F157" s="1" t="s">
        <v>1579</v>
      </c>
      <c r="G157" s="1" t="s">
        <v>99</v>
      </c>
      <c r="H157" s="1" t="s">
        <v>100</v>
      </c>
      <c r="I157" s="1" t="s">
        <v>97</v>
      </c>
      <c r="J157" s="1" t="s">
        <v>98</v>
      </c>
      <c r="K157" s="1" t="s">
        <v>39</v>
      </c>
      <c r="L157" s="1" t="s">
        <v>40</v>
      </c>
      <c r="M157" s="1"/>
      <c r="N157" s="1" t="s">
        <v>1813</v>
      </c>
    </row>
    <row r="158" spans="1:14" x14ac:dyDescent="0.25">
      <c r="A158" s="1" t="s">
        <v>10</v>
      </c>
      <c r="B158" s="1" t="str">
        <f t="shared" si="2"/>
        <v>Defaultgtm-syncgroup01-hk225.154.124.62Obsolete</v>
      </c>
      <c r="C158" t="e">
        <f>VLOOKUP($B158, comment!$B$2:$C$401, 2, FALSE)</f>
        <v>#N/A</v>
      </c>
      <c r="D158" s="1" t="s">
        <v>108</v>
      </c>
      <c r="E158" s="1" t="s">
        <v>1757</v>
      </c>
      <c r="F158" s="1" t="s">
        <v>1464</v>
      </c>
      <c r="G158" s="1" t="s">
        <v>175</v>
      </c>
      <c r="H158" s="1" t="s">
        <v>176</v>
      </c>
      <c r="I158" s="1" t="s">
        <v>111</v>
      </c>
      <c r="J158" s="1" t="s">
        <v>112</v>
      </c>
      <c r="K158" s="1" t="s">
        <v>39</v>
      </c>
      <c r="L158" s="1" t="s">
        <v>40</v>
      </c>
      <c r="M158" s="1"/>
      <c r="N158" s="1" t="s">
        <v>1801</v>
      </c>
    </row>
    <row r="159" spans="1:14" x14ac:dyDescent="0.25">
      <c r="A159" s="1" t="s">
        <v>10</v>
      </c>
      <c r="B159" s="1" t="str">
        <f t="shared" si="2"/>
        <v>Defaultgtm-syncgroup02-co125.154.40.61Obsolete</v>
      </c>
      <c r="C159" t="str">
        <f>VLOOKUP($B159, comment!$B$2:$C$401, 2, FALSE)</f>
        <v>delete</v>
      </c>
      <c r="D159" s="1" t="s">
        <v>119</v>
      </c>
      <c r="E159" s="1" t="s">
        <v>1617</v>
      </c>
      <c r="F159" s="1" t="s">
        <v>1519</v>
      </c>
      <c r="G159" s="1" t="s">
        <v>120</v>
      </c>
      <c r="H159" s="1" t="s">
        <v>121</v>
      </c>
      <c r="I159" s="1" t="s">
        <v>122</v>
      </c>
      <c r="J159" s="1" t="s">
        <v>123</v>
      </c>
      <c r="K159" s="1" t="s">
        <v>39</v>
      </c>
      <c r="L159" s="1" t="s">
        <v>40</v>
      </c>
      <c r="M159" s="1"/>
      <c r="N159" s="1" t="s">
        <v>1796</v>
      </c>
    </row>
    <row r="160" spans="1:14" x14ac:dyDescent="0.25">
      <c r="A160" s="1" t="s">
        <v>10</v>
      </c>
      <c r="B160" s="1" t="str">
        <f t="shared" si="2"/>
        <v>Defaultapc01-pu1104.47.126.0InvalidRegion</v>
      </c>
      <c r="C160" t="e">
        <f>VLOOKUP($B160, comment!$B$2:$C$401, 2, FALSE)</f>
        <v>#N/A</v>
      </c>
      <c r="D160" s="1" t="s">
        <v>1946</v>
      </c>
      <c r="E160" s="1" t="s">
        <v>1423</v>
      </c>
      <c r="F160" s="1" t="s">
        <v>1424</v>
      </c>
      <c r="G160" s="1" t="s">
        <v>1826</v>
      </c>
      <c r="H160" s="1" t="s">
        <v>1827</v>
      </c>
      <c r="I160" s="1" t="s">
        <v>968</v>
      </c>
      <c r="J160" s="1" t="s">
        <v>1264</v>
      </c>
      <c r="K160" s="1" t="s">
        <v>1427</v>
      </c>
      <c r="L160" s="1" t="s">
        <v>1940</v>
      </c>
      <c r="M160" s="1" t="s">
        <v>1828</v>
      </c>
      <c r="N160" s="1" t="s">
        <v>1829</v>
      </c>
    </row>
    <row r="161" spans="1:14" x14ac:dyDescent="0.25">
      <c r="A161" s="1" t="s">
        <v>10</v>
      </c>
      <c r="B161" s="1" t="str">
        <f t="shared" si="2"/>
        <v>Defaultapc01-sga2a01:111:f400:feab::MismatchedDcName</v>
      </c>
      <c r="C161" t="e">
        <f>VLOOKUP($B161, comment!$B$2:$C$401, 2, FALSE)</f>
        <v>#N/A</v>
      </c>
      <c r="D161" s="1" t="s">
        <v>1956</v>
      </c>
      <c r="E161" s="1" t="s">
        <v>1423</v>
      </c>
      <c r="F161" s="1" t="s">
        <v>1431</v>
      </c>
      <c r="G161" s="1" t="s">
        <v>1816</v>
      </c>
      <c r="H161" s="1" t="s">
        <v>1817</v>
      </c>
      <c r="I161" s="1" t="s">
        <v>88</v>
      </c>
      <c r="J161" s="1"/>
      <c r="K161" s="1" t="s">
        <v>17</v>
      </c>
      <c r="L161" s="1" t="s">
        <v>1818</v>
      </c>
      <c r="M161" s="1" t="s">
        <v>1819</v>
      </c>
      <c r="N161" s="1" t="s">
        <v>1820</v>
      </c>
    </row>
    <row r="162" spans="1:14" x14ac:dyDescent="0.25">
      <c r="A162" s="1" t="s">
        <v>10</v>
      </c>
      <c r="B162" s="1" t="str">
        <f t="shared" si="2"/>
        <v>Defaultapc01-ps22a01:111:f400:feae::MismatchedDcName</v>
      </c>
      <c r="C162" t="e">
        <f>VLOOKUP($B162, comment!$B$2:$C$401, 2, FALSE)</f>
        <v>#N/A</v>
      </c>
      <c r="D162" s="1" t="s">
        <v>1952</v>
      </c>
      <c r="E162" s="1" t="s">
        <v>1423</v>
      </c>
      <c r="F162" s="1" t="s">
        <v>1430</v>
      </c>
      <c r="G162" s="1" t="s">
        <v>1821</v>
      </c>
      <c r="H162" s="1" t="s">
        <v>1822</v>
      </c>
      <c r="I162" s="1" t="s">
        <v>88</v>
      </c>
      <c r="J162" s="1" t="s">
        <v>973</v>
      </c>
      <c r="K162" s="1" t="s">
        <v>17</v>
      </c>
      <c r="L162" s="1" t="s">
        <v>1823</v>
      </c>
      <c r="M162" s="1" t="s">
        <v>1824</v>
      </c>
      <c r="N162" s="1" t="s">
        <v>1825</v>
      </c>
    </row>
    <row r="163" spans="1:14" x14ac:dyDescent="0.25">
      <c r="A163" s="1" t="s">
        <v>10</v>
      </c>
      <c r="B163" s="1" t="str">
        <f t="shared" si="2"/>
        <v>Defaultdeu01-be040.107.127.0InvalidTitle</v>
      </c>
      <c r="C163" t="str">
        <f>VLOOKUP($B163, comment!$B$2:$C$401, 2, FALSE)</f>
        <v>Valid</v>
      </c>
      <c r="D163" s="1" t="s">
        <v>602</v>
      </c>
      <c r="E163" s="1" t="s">
        <v>1831</v>
      </c>
      <c r="F163" s="1" t="s">
        <v>1832</v>
      </c>
      <c r="G163" s="1" t="s">
        <v>618</v>
      </c>
      <c r="H163" s="1" t="s">
        <v>619</v>
      </c>
      <c r="I163" s="1" t="s">
        <v>605</v>
      </c>
      <c r="J163" s="1" t="s">
        <v>606</v>
      </c>
      <c r="K163" s="1" t="s">
        <v>62</v>
      </c>
      <c r="L163" s="1" t="s">
        <v>620</v>
      </c>
      <c r="M163" s="1" t="s">
        <v>621</v>
      </c>
      <c r="N163" s="1" t="s">
        <v>1833</v>
      </c>
    </row>
    <row r="164" spans="1:14" x14ac:dyDescent="0.25">
      <c r="A164" s="1" t="s">
        <v>10</v>
      </c>
      <c r="B164" s="1" t="str">
        <f t="shared" si="2"/>
        <v>Defaultgtm-syncgroup01-bl225.154.38.62Obsolete</v>
      </c>
      <c r="C164" t="str">
        <f>VLOOKUP($B164, comment!$B$2:$C$401, 2, FALSE)</f>
        <v>delete</v>
      </c>
      <c r="D164" s="1" t="s">
        <v>89</v>
      </c>
      <c r="E164" s="1" t="s">
        <v>1757</v>
      </c>
      <c r="F164" s="1" t="s">
        <v>1772</v>
      </c>
      <c r="G164" s="1" t="s">
        <v>92</v>
      </c>
      <c r="H164" s="1" t="s">
        <v>93</v>
      </c>
      <c r="I164" s="1" t="s">
        <v>23</v>
      </c>
      <c r="J164" s="1" t="s">
        <v>24</v>
      </c>
      <c r="K164" s="1" t="s">
        <v>39</v>
      </c>
      <c r="L164" s="1" t="s">
        <v>40</v>
      </c>
      <c r="M164" s="1"/>
      <c r="N164" s="1" t="s">
        <v>1811</v>
      </c>
    </row>
    <row r="165" spans="1:14" x14ac:dyDescent="0.25">
      <c r="A165" s="1" t="s">
        <v>10</v>
      </c>
      <c r="B165" s="1" t="str">
        <f t="shared" si="2"/>
        <v>Defaultgtm-syncgroup02-am325.154.4.62Obsolete</v>
      </c>
      <c r="C165" t="str">
        <f>VLOOKUP($B165, comment!$B$2:$C$401, 2, FALSE)</f>
        <v>delete</v>
      </c>
      <c r="D165" s="1" t="s">
        <v>113</v>
      </c>
      <c r="E165" s="1" t="s">
        <v>1617</v>
      </c>
      <c r="F165" s="1" t="s">
        <v>1618</v>
      </c>
      <c r="G165" s="1" t="s">
        <v>117</v>
      </c>
      <c r="H165" s="1" t="s">
        <v>118</v>
      </c>
      <c r="I165" s="1" t="s">
        <v>635</v>
      </c>
      <c r="J165" s="1" t="s">
        <v>16</v>
      </c>
      <c r="K165" s="1" t="s">
        <v>39</v>
      </c>
      <c r="L165" s="1" t="s">
        <v>40</v>
      </c>
      <c r="M165" s="1"/>
      <c r="N165" s="1" t="s">
        <v>1835</v>
      </c>
    </row>
    <row r="166" spans="1:14" x14ac:dyDescent="0.25">
      <c r="A166" s="1" t="s">
        <v>10</v>
      </c>
      <c r="B166" s="1" t="str">
        <f t="shared" si="2"/>
        <v>Defaultgtm-syncgroup02-co125.154.40.62Obsolete</v>
      </c>
      <c r="C166" t="str">
        <f>VLOOKUP($B166, comment!$B$2:$C$401, 2, FALSE)</f>
        <v>delete</v>
      </c>
      <c r="D166" s="1" t="s">
        <v>119</v>
      </c>
      <c r="E166" s="1" t="s">
        <v>1617</v>
      </c>
      <c r="F166" s="1" t="s">
        <v>1519</v>
      </c>
      <c r="G166" s="1" t="s">
        <v>124</v>
      </c>
      <c r="H166" s="1" t="s">
        <v>125</v>
      </c>
      <c r="I166" s="1" t="s">
        <v>122</v>
      </c>
      <c r="J166" s="1" t="s">
        <v>123</v>
      </c>
      <c r="K166" s="1" t="s">
        <v>39</v>
      </c>
      <c r="L166" s="1" t="s">
        <v>40</v>
      </c>
      <c r="M166" s="1"/>
      <c r="N166" s="1" t="s">
        <v>1812</v>
      </c>
    </row>
    <row r="167" spans="1:14" x14ac:dyDescent="0.25">
      <c r="A167" s="1" t="s">
        <v>10</v>
      </c>
      <c r="B167" s="1" t="str">
        <f t="shared" si="2"/>
        <v>Defaultapc01-pu12a01:111:e400:7fbe::InvalidRegion</v>
      </c>
      <c r="C167" t="e">
        <f>VLOOKUP($B167, comment!$B$2:$C$401, 2, FALSE)</f>
        <v>#N/A</v>
      </c>
      <c r="D167" s="1" t="s">
        <v>1946</v>
      </c>
      <c r="E167" s="1" t="s">
        <v>1423</v>
      </c>
      <c r="F167" s="1" t="s">
        <v>1424</v>
      </c>
      <c r="G167" s="1" t="s">
        <v>1836</v>
      </c>
      <c r="H167" s="1" t="s">
        <v>1837</v>
      </c>
      <c r="I167" s="1" t="s">
        <v>968</v>
      </c>
      <c r="J167" s="1" t="s">
        <v>1264</v>
      </c>
      <c r="K167" s="1" t="s">
        <v>1427</v>
      </c>
      <c r="L167" s="1" t="s">
        <v>1940</v>
      </c>
      <c r="M167" s="1" t="s">
        <v>1838</v>
      </c>
      <c r="N167" s="1" t="s">
        <v>1839</v>
      </c>
    </row>
    <row r="168" spans="1:14" x14ac:dyDescent="0.25">
      <c r="A168" s="1" t="s">
        <v>10</v>
      </c>
      <c r="B168" s="1" t="str">
        <f t="shared" si="2"/>
        <v>Defaultfra01-pr210.233.128.0InvalidTitle</v>
      </c>
      <c r="C168" t="str">
        <f>VLOOKUP($B168, comment!$B$2:$C$401, 2, FALSE)</f>
        <v>Valid</v>
      </c>
      <c r="D168" s="1" t="s">
        <v>719</v>
      </c>
      <c r="E168" s="1" t="s">
        <v>1840</v>
      </c>
      <c r="F168" s="1" t="s">
        <v>1764</v>
      </c>
      <c r="G168" s="1" t="s">
        <v>720</v>
      </c>
      <c r="H168" s="1" t="s">
        <v>721</v>
      </c>
      <c r="I168" s="1" t="s">
        <v>722</v>
      </c>
      <c r="J168" s="1" t="s">
        <v>723</v>
      </c>
      <c r="K168" s="1" t="s">
        <v>62</v>
      </c>
      <c r="L168" s="1" t="s">
        <v>724</v>
      </c>
      <c r="M168" s="1" t="s">
        <v>725</v>
      </c>
      <c r="N168" s="1" t="s">
        <v>1841</v>
      </c>
    </row>
    <row r="169" spans="1:14" x14ac:dyDescent="0.25">
      <c r="A169" s="1" t="s">
        <v>10</v>
      </c>
      <c r="B169" s="1" t="str">
        <f t="shared" si="2"/>
        <v>Defaultnam05-dm325.154.41.61Obsolete</v>
      </c>
      <c r="C169" t="str">
        <f>VLOOKUP($B169, comment!$B$2:$C$401, 2, FALSE)</f>
        <v>delete</v>
      </c>
      <c r="D169" s="1" t="s">
        <v>167</v>
      </c>
      <c r="E169" s="1" t="s">
        <v>1800</v>
      </c>
      <c r="F169" s="1" t="s">
        <v>1659</v>
      </c>
      <c r="G169" s="1" t="s">
        <v>168</v>
      </c>
      <c r="H169" s="1" t="s">
        <v>169</v>
      </c>
      <c r="I169" s="1" t="s">
        <v>170</v>
      </c>
      <c r="J169" s="1" t="s">
        <v>171</v>
      </c>
      <c r="K169" s="1" t="s">
        <v>39</v>
      </c>
      <c r="L169" s="1" t="s">
        <v>40</v>
      </c>
      <c r="M169" s="1"/>
      <c r="N169" s="1" t="s">
        <v>1842</v>
      </c>
    </row>
    <row r="170" spans="1:14" x14ac:dyDescent="0.25">
      <c r="A170" s="1" t="s">
        <v>10</v>
      </c>
      <c r="B170" s="1" t="str">
        <f t="shared" si="2"/>
        <v>Defaultapc01-pu12a01:111:f400:febe::InvalidRegion</v>
      </c>
      <c r="C170" t="e">
        <f>VLOOKUP($B170, comment!$B$2:$C$401, 2, FALSE)</f>
        <v>#N/A</v>
      </c>
      <c r="D170" s="1" t="s">
        <v>1946</v>
      </c>
      <c r="E170" s="1" t="s">
        <v>1423</v>
      </c>
      <c r="F170" s="1" t="s">
        <v>1424</v>
      </c>
      <c r="G170" s="1" t="s">
        <v>1843</v>
      </c>
      <c r="H170" s="1" t="s">
        <v>1844</v>
      </c>
      <c r="I170" s="1" t="s">
        <v>968</v>
      </c>
      <c r="J170" s="1" t="s">
        <v>1264</v>
      </c>
      <c r="K170" s="1" t="s">
        <v>1427</v>
      </c>
      <c r="L170" s="1" t="s">
        <v>1940</v>
      </c>
      <c r="M170" s="1" t="s">
        <v>1845</v>
      </c>
      <c r="N170" s="1" t="s">
        <v>1846</v>
      </c>
    </row>
    <row r="171" spans="1:14" x14ac:dyDescent="0.25">
      <c r="A171" s="1" t="s">
        <v>10</v>
      </c>
      <c r="B171" s="1" t="str">
        <f t="shared" si="2"/>
        <v>Defaultnam05-dm325.154.41.62Obsolete</v>
      </c>
      <c r="C171" t="str">
        <f>VLOOKUP($B171, comment!$B$2:$C$401, 2, FALSE)</f>
        <v>delete</v>
      </c>
      <c r="D171" s="1" t="s">
        <v>167</v>
      </c>
      <c r="E171" s="1" t="s">
        <v>1800</v>
      </c>
      <c r="F171" s="1" t="s">
        <v>1659</v>
      </c>
      <c r="G171" s="1" t="s">
        <v>172</v>
      </c>
      <c r="H171" s="1" t="s">
        <v>173</v>
      </c>
      <c r="I171" s="1" t="s">
        <v>170</v>
      </c>
      <c r="J171" s="1" t="s">
        <v>171</v>
      </c>
      <c r="K171" s="1" t="s">
        <v>39</v>
      </c>
      <c r="L171" s="1" t="s">
        <v>40</v>
      </c>
      <c r="M171" s="1"/>
      <c r="N171" s="1" t="s">
        <v>1849</v>
      </c>
    </row>
    <row r="172" spans="1:14" x14ac:dyDescent="0.25">
      <c r="A172" s="1" t="s">
        <v>10</v>
      </c>
      <c r="B172" s="1" t="str">
        <f t="shared" si="2"/>
        <v>Defaultsit02-ph210.97.78.61EmptyDatacenter</v>
      </c>
      <c r="C172" t="e">
        <f>VLOOKUP($B172, comment!$B$2:$C$401, 2, FALSE)</f>
        <v>#N/A</v>
      </c>
      <c r="D172" s="1" t="s">
        <v>264</v>
      </c>
      <c r="E172" s="1" t="s">
        <v>1858</v>
      </c>
      <c r="F172" s="1" t="s">
        <v>1780</v>
      </c>
      <c r="G172" s="1" t="s">
        <v>1166</v>
      </c>
      <c r="H172" s="1" t="s">
        <v>1167</v>
      </c>
      <c r="I172" s="1"/>
      <c r="J172" s="1" t="s">
        <v>215</v>
      </c>
      <c r="K172" s="1" t="s">
        <v>31</v>
      </c>
      <c r="L172" s="1" t="s">
        <v>1450</v>
      </c>
      <c r="M172" s="1" t="s">
        <v>664</v>
      </c>
      <c r="N172" s="1" t="s">
        <v>1850</v>
      </c>
    </row>
    <row r="173" spans="1:14" x14ac:dyDescent="0.25">
      <c r="A173" s="1" t="s">
        <v>10</v>
      </c>
      <c r="B173" s="1" t="str">
        <f t="shared" si="2"/>
        <v>Defaultson01-co12a01:111:f400:ff45::DubiousTitle</v>
      </c>
      <c r="C173" t="e">
        <f>VLOOKUP($B173, comment!$B$2:$C$401, 2, FALSE)</f>
        <v>#N/A</v>
      </c>
      <c r="D173" s="1" t="s">
        <v>1270</v>
      </c>
      <c r="E173" s="1" t="s">
        <v>1518</v>
      </c>
      <c r="F173" s="1" t="s">
        <v>1519</v>
      </c>
      <c r="G173" s="1" t="s">
        <v>1326</v>
      </c>
      <c r="H173" s="1" t="s">
        <v>1327</v>
      </c>
      <c r="I173" s="1" t="s">
        <v>122</v>
      </c>
      <c r="J173" s="1" t="s">
        <v>123</v>
      </c>
      <c r="K173" s="1" t="s">
        <v>1964</v>
      </c>
      <c r="L173" s="1" t="s">
        <v>1969</v>
      </c>
      <c r="M173" s="1" t="s">
        <v>1851</v>
      </c>
      <c r="N173" s="1" t="s">
        <v>1852</v>
      </c>
    </row>
    <row r="174" spans="1:14" x14ac:dyDescent="0.25">
      <c r="A174" s="1" t="s">
        <v>10</v>
      </c>
      <c r="B174" s="1" t="str">
        <f t="shared" si="2"/>
        <v>Defaultapc01-pu12a01:111:e400:7ebe::InvalidRegion</v>
      </c>
      <c r="C174" t="e">
        <f>VLOOKUP($B174, comment!$B$2:$C$401, 2, FALSE)</f>
        <v>#N/A</v>
      </c>
      <c r="D174" s="1" t="s">
        <v>1946</v>
      </c>
      <c r="E174" s="1" t="s">
        <v>1423</v>
      </c>
      <c r="F174" s="1" t="s">
        <v>1424</v>
      </c>
      <c r="G174" s="1" t="s">
        <v>1853</v>
      </c>
      <c r="H174" s="1" t="s">
        <v>1854</v>
      </c>
      <c r="I174" s="1" t="s">
        <v>968</v>
      </c>
      <c r="J174" s="1" t="s">
        <v>1264</v>
      </c>
      <c r="K174" s="1" t="s">
        <v>1427</v>
      </c>
      <c r="L174" s="1" t="s">
        <v>1940</v>
      </c>
      <c r="M174" s="1" t="s">
        <v>1855</v>
      </c>
      <c r="N174" s="1" t="s">
        <v>1856</v>
      </c>
    </row>
    <row r="175" spans="1:14" x14ac:dyDescent="0.25">
      <c r="A175" s="1" t="s">
        <v>10</v>
      </c>
      <c r="B175" s="1" t="str">
        <f t="shared" si="2"/>
        <v>Defaultusg01-cy123.103.199.32EmptyDatacenter</v>
      </c>
      <c r="C175" t="str">
        <f>VLOOKUP($B175, comment!$B$2:$C$401, 2, FALSE)</f>
        <v>Exception Need to figure out</v>
      </c>
      <c r="D175" s="1" t="s">
        <v>308</v>
      </c>
      <c r="E175" s="1" t="s">
        <v>1663</v>
      </c>
      <c r="F175" s="1" t="s">
        <v>1471</v>
      </c>
      <c r="G175" s="1" t="s">
        <v>312</v>
      </c>
      <c r="H175" s="1" t="s">
        <v>313</v>
      </c>
      <c r="I175" s="1"/>
      <c r="J175" s="1"/>
      <c r="K175" s="1" t="s">
        <v>31</v>
      </c>
      <c r="L175" s="1" t="s">
        <v>1450</v>
      </c>
      <c r="M175" s="1" t="s">
        <v>314</v>
      </c>
      <c r="N175" s="1" t="s">
        <v>1857</v>
      </c>
    </row>
    <row r="176" spans="1:14" x14ac:dyDescent="0.25">
      <c r="A176" s="1" t="s">
        <v>1523</v>
      </c>
      <c r="B176" s="1" t="str">
        <f t="shared" si="2"/>
        <v>GalaCakesit02-sn5172.16.1.0WrongAddressSpace</v>
      </c>
      <c r="C176" t="e">
        <f>VLOOKUP($B176, comment!$B$2:$C$401, 2, FALSE)</f>
        <v>#N/A</v>
      </c>
      <c r="D176" s="1" t="s">
        <v>286</v>
      </c>
      <c r="E176" s="1" t="s">
        <v>1858</v>
      </c>
      <c r="F176" s="1" t="s">
        <v>1494</v>
      </c>
      <c r="G176" s="1" t="s">
        <v>1990</v>
      </c>
      <c r="H176" s="1" t="s">
        <v>1859</v>
      </c>
      <c r="I176" s="1"/>
      <c r="J176" s="1"/>
      <c r="K176" s="1" t="s">
        <v>1444</v>
      </c>
      <c r="L176" s="1" t="s">
        <v>1525</v>
      </c>
      <c r="M176" s="1" t="s">
        <v>1860</v>
      </c>
      <c r="N176" s="1" t="s">
        <v>1861</v>
      </c>
    </row>
    <row r="177" spans="1:14" x14ac:dyDescent="0.25">
      <c r="A177" s="1" t="s">
        <v>1565</v>
      </c>
      <c r="B177" s="1" t="str">
        <f t="shared" si="2"/>
        <v>EXsit02-sn5172.16.1.0WrongAddressSpace</v>
      </c>
      <c r="C177" t="e">
        <f>VLOOKUP($B177, comment!$B$2:$C$401, 2, FALSE)</f>
        <v>#N/A</v>
      </c>
      <c r="D177" s="1" t="s">
        <v>286</v>
      </c>
      <c r="E177" s="1" t="s">
        <v>1858</v>
      </c>
      <c r="F177" s="1" t="s">
        <v>1494</v>
      </c>
      <c r="G177" s="1" t="s">
        <v>1990</v>
      </c>
      <c r="H177" s="1" t="s">
        <v>1859</v>
      </c>
      <c r="I177" s="1"/>
      <c r="J177" s="1"/>
      <c r="K177" s="1" t="s">
        <v>1444</v>
      </c>
      <c r="L177" s="1" t="s">
        <v>1525</v>
      </c>
      <c r="M177" s="1" t="s">
        <v>1567</v>
      </c>
      <c r="N177" s="1" t="s">
        <v>1862</v>
      </c>
    </row>
    <row r="178" spans="1:14" x14ac:dyDescent="0.25">
      <c r="A178" s="1" t="s">
        <v>1386</v>
      </c>
      <c r="B178" s="1" t="str">
        <f t="shared" si="2"/>
        <v>RXsit02-sn5172.16.1.0WrongAddressSpace</v>
      </c>
      <c r="C178" t="e">
        <f>VLOOKUP($B178, comment!$B$2:$C$401, 2, FALSE)</f>
        <v>#N/A</v>
      </c>
      <c r="D178" s="1" t="s">
        <v>286</v>
      </c>
      <c r="E178" s="1" t="s">
        <v>1858</v>
      </c>
      <c r="F178" s="1" t="s">
        <v>1494</v>
      </c>
      <c r="G178" s="1" t="s">
        <v>1990</v>
      </c>
      <c r="H178" s="1" t="s">
        <v>1859</v>
      </c>
      <c r="I178" s="1"/>
      <c r="J178" s="1"/>
      <c r="K178" s="1" t="s">
        <v>1444</v>
      </c>
      <c r="L178" s="1" t="s">
        <v>1525</v>
      </c>
      <c r="M178" s="1" t="s">
        <v>1567</v>
      </c>
      <c r="N178" s="1" t="s">
        <v>1863</v>
      </c>
    </row>
    <row r="179" spans="1:14" x14ac:dyDescent="0.25">
      <c r="A179" s="1" t="s">
        <v>10</v>
      </c>
      <c r="B179" s="1" t="str">
        <f t="shared" si="2"/>
        <v>Defaultapc01-pu12a01:111:f400:7ebd::InvalidRegion</v>
      </c>
      <c r="C179" t="e">
        <f>VLOOKUP($B179, comment!$B$2:$C$401, 2, FALSE)</f>
        <v>#N/A</v>
      </c>
      <c r="D179" s="1" t="s">
        <v>1946</v>
      </c>
      <c r="E179" s="1" t="s">
        <v>1423</v>
      </c>
      <c r="F179" s="1" t="s">
        <v>1424</v>
      </c>
      <c r="G179" s="1" t="s">
        <v>1864</v>
      </c>
      <c r="H179" s="1" t="s">
        <v>1865</v>
      </c>
      <c r="I179" s="1" t="s">
        <v>968</v>
      </c>
      <c r="J179" s="1" t="s">
        <v>1264</v>
      </c>
      <c r="K179" s="1" t="s">
        <v>1427</v>
      </c>
      <c r="L179" s="1" t="s">
        <v>1940</v>
      </c>
      <c r="M179" s="1" t="s">
        <v>1866</v>
      </c>
      <c r="N179" s="1" t="s">
        <v>1867</v>
      </c>
    </row>
    <row r="180" spans="1:14" x14ac:dyDescent="0.25">
      <c r="A180" s="1" t="s">
        <v>10</v>
      </c>
      <c r="B180" s="1" t="str">
        <f t="shared" si="2"/>
        <v>Defaultusg02-bn323.103.199.128EmptyDatacenter</v>
      </c>
      <c r="C180" t="str">
        <f>VLOOKUP($B180, comment!$B$2:$C$401, 2, FALSE)</f>
        <v>Exception Need to figure out</v>
      </c>
      <c r="D180" s="1" t="s">
        <v>321</v>
      </c>
      <c r="E180" s="1" t="s">
        <v>1665</v>
      </c>
      <c r="F180" s="1" t="s">
        <v>1666</v>
      </c>
      <c r="G180" s="1" t="s">
        <v>324</v>
      </c>
      <c r="H180" s="1" t="s">
        <v>325</v>
      </c>
      <c r="I180" s="1"/>
      <c r="J180" s="1"/>
      <c r="K180" s="1" t="s">
        <v>31</v>
      </c>
      <c r="L180" s="1" t="s">
        <v>1450</v>
      </c>
      <c r="M180" s="1" t="s">
        <v>326</v>
      </c>
      <c r="N180" s="1" t="s">
        <v>1868</v>
      </c>
    </row>
    <row r="181" spans="1:14" x14ac:dyDescent="0.25">
      <c r="A181" s="1" t="s">
        <v>10</v>
      </c>
      <c r="B181" s="1" t="str">
        <f t="shared" si="2"/>
        <v>Defaultapc01-pu140.92.254.0InvalidRegion</v>
      </c>
      <c r="C181" t="e">
        <f>VLOOKUP($B181, comment!$B$2:$C$401, 2, FALSE)</f>
        <v>#N/A</v>
      </c>
      <c r="D181" s="1" t="s">
        <v>1946</v>
      </c>
      <c r="E181" s="1" t="s">
        <v>1423</v>
      </c>
      <c r="F181" s="1" t="s">
        <v>1424</v>
      </c>
      <c r="G181" s="1" t="s">
        <v>1871</v>
      </c>
      <c r="H181" s="1" t="s">
        <v>1872</v>
      </c>
      <c r="I181" s="1" t="s">
        <v>968</v>
      </c>
      <c r="J181" s="1" t="s">
        <v>1264</v>
      </c>
      <c r="K181" s="1" t="s">
        <v>1427</v>
      </c>
      <c r="L181" s="1" t="s">
        <v>1940</v>
      </c>
      <c r="M181" s="1" t="s">
        <v>1873</v>
      </c>
      <c r="N181" s="1" t="s">
        <v>1874</v>
      </c>
    </row>
    <row r="182" spans="1:14" x14ac:dyDescent="0.25">
      <c r="A182" s="1" t="s">
        <v>10</v>
      </c>
      <c r="B182" s="1" t="str">
        <f t="shared" si="2"/>
        <v>Defaultfra01-mr210.118.129.0InvalidTitle</v>
      </c>
      <c r="C182" t="e">
        <f>VLOOKUP($B182, comment!$B$2:$C$401, 2, FALSE)</f>
        <v>#N/A</v>
      </c>
      <c r="D182" s="1" t="s">
        <v>713</v>
      </c>
      <c r="E182" s="1" t="s">
        <v>1840</v>
      </c>
      <c r="F182" s="1" t="s">
        <v>1722</v>
      </c>
      <c r="G182" s="1" t="s">
        <v>714</v>
      </c>
      <c r="H182" s="1" t="s">
        <v>715</v>
      </c>
      <c r="I182" s="1" t="s">
        <v>1247</v>
      </c>
      <c r="J182" s="1" t="s">
        <v>1161</v>
      </c>
      <c r="K182" s="1" t="s">
        <v>62</v>
      </c>
      <c r="L182" s="1" t="s">
        <v>1248</v>
      </c>
      <c r="M182" s="1" t="s">
        <v>718</v>
      </c>
      <c r="N182" s="1" t="s">
        <v>1875</v>
      </c>
    </row>
    <row r="183" spans="1:14" x14ac:dyDescent="0.25">
      <c r="A183" s="1" t="s">
        <v>10</v>
      </c>
      <c r="B183" s="1" t="str">
        <f t="shared" si="2"/>
        <v>Defaultfra01-pr210.118.128.0InvalidTitle</v>
      </c>
      <c r="C183" t="str">
        <f>VLOOKUP($B183, comment!$B$2:$C$401, 2, FALSE)</f>
        <v>Valid</v>
      </c>
      <c r="D183" s="1" t="s">
        <v>719</v>
      </c>
      <c r="E183" s="1" t="s">
        <v>1840</v>
      </c>
      <c r="F183" s="1" t="s">
        <v>1764</v>
      </c>
      <c r="G183" s="1" t="s">
        <v>726</v>
      </c>
      <c r="H183" s="1" t="s">
        <v>727</v>
      </c>
      <c r="I183" s="1" t="s">
        <v>722</v>
      </c>
      <c r="J183" s="1" t="s">
        <v>723</v>
      </c>
      <c r="K183" s="1" t="s">
        <v>62</v>
      </c>
      <c r="L183" s="1" t="s">
        <v>724</v>
      </c>
      <c r="M183" s="1" t="s">
        <v>728</v>
      </c>
      <c r="N183" s="1" t="s">
        <v>1877</v>
      </c>
    </row>
    <row r="184" spans="1:14" x14ac:dyDescent="0.25">
      <c r="A184" s="1" t="s">
        <v>10</v>
      </c>
      <c r="B184" s="1" t="str">
        <f t="shared" si="2"/>
        <v>Defaultnam04-bn325.154.33.61Obsolete</v>
      </c>
      <c r="C184" t="str">
        <f>VLOOKUP($B184, comment!$B$2:$C$401, 2, FALSE)</f>
        <v>delete</v>
      </c>
      <c r="D184" s="1" t="s">
        <v>153</v>
      </c>
      <c r="E184" s="1" t="s">
        <v>1755</v>
      </c>
      <c r="F184" s="1" t="s">
        <v>1666</v>
      </c>
      <c r="G184" s="1" t="s">
        <v>154</v>
      </c>
      <c r="H184" s="1" t="s">
        <v>155</v>
      </c>
      <c r="I184" s="1" t="s">
        <v>156</v>
      </c>
      <c r="J184" s="1" t="s">
        <v>157</v>
      </c>
      <c r="K184" s="1" t="s">
        <v>39</v>
      </c>
      <c r="L184" s="1" t="s">
        <v>40</v>
      </c>
      <c r="M184" s="1"/>
      <c r="N184" s="1" t="s">
        <v>1876</v>
      </c>
    </row>
    <row r="185" spans="1:14" x14ac:dyDescent="0.25">
      <c r="A185" s="1" t="s">
        <v>10</v>
      </c>
      <c r="B185" s="1" t="str">
        <f t="shared" si="2"/>
        <v>Defaultfsdf-sn22a01:111:f400:7c09:0:0:0:16MismatchedDcName</v>
      </c>
      <c r="C185" t="str">
        <f>VLOOKUP($B185, comment!$B$2:$C$401, 2, FALSE)</f>
        <v>delete</v>
      </c>
      <c r="D185" s="1" t="s">
        <v>20</v>
      </c>
      <c r="E185" s="1" t="s">
        <v>1451</v>
      </c>
      <c r="F185" s="1" t="s">
        <v>1487</v>
      </c>
      <c r="G185" s="1" t="s">
        <v>21</v>
      </c>
      <c r="H185" s="1" t="s">
        <v>22</v>
      </c>
      <c r="I185" s="1" t="s">
        <v>23</v>
      </c>
      <c r="J185" s="1" t="s">
        <v>24</v>
      </c>
      <c r="K185" s="1" t="s">
        <v>17</v>
      </c>
      <c r="L185" s="1" t="s">
        <v>1869</v>
      </c>
      <c r="M185" s="1" t="s">
        <v>26</v>
      </c>
      <c r="N185" s="1" t="s">
        <v>1870</v>
      </c>
    </row>
    <row r="186" spans="1:14" x14ac:dyDescent="0.25">
      <c r="A186" s="1" t="s">
        <v>10</v>
      </c>
      <c r="B186" s="1" t="str">
        <f t="shared" si="2"/>
        <v>Defaultusg02-bn32001:489a:2202:4::MismatchedDcName</v>
      </c>
      <c r="C186" t="str">
        <f>VLOOKUP($B186, comment!$B$2:$C$401, 2, FALSE)</f>
        <v>Exception Need to figure out</v>
      </c>
      <c r="D186" s="1" t="s">
        <v>321</v>
      </c>
      <c r="E186" s="1" t="s">
        <v>1665</v>
      </c>
      <c r="F186" s="1" t="s">
        <v>1666</v>
      </c>
      <c r="G186" s="1" t="s">
        <v>338</v>
      </c>
      <c r="H186" s="1" t="s">
        <v>339</v>
      </c>
      <c r="I186" s="1" t="s">
        <v>340</v>
      </c>
      <c r="J186" s="1" t="s">
        <v>341</v>
      </c>
      <c r="K186" s="1" t="s">
        <v>17</v>
      </c>
      <c r="L186" s="1" t="s">
        <v>1878</v>
      </c>
      <c r="M186" s="1" t="s">
        <v>343</v>
      </c>
      <c r="N186" s="1" t="s">
        <v>1879</v>
      </c>
    </row>
    <row r="187" spans="1:14" x14ac:dyDescent="0.25">
      <c r="A187" s="1"/>
      <c r="B187" s="1" t="str">
        <f t="shared" si="2"/>
        <v>eur05-db820.128.56.1011NoMatch</v>
      </c>
      <c r="C187" t="e">
        <f>VLOOKUP($B187, comment!$B$2:$C$401, 2, FALSE)</f>
        <v>#N/A</v>
      </c>
      <c r="D187" s="1" t="s">
        <v>667</v>
      </c>
      <c r="E187" s="1" t="s">
        <v>1754</v>
      </c>
      <c r="F187" s="1" t="s">
        <v>1830</v>
      </c>
      <c r="G187" s="1" t="s">
        <v>1880</v>
      </c>
      <c r="H187" s="1"/>
      <c r="I187" s="1"/>
      <c r="J187" s="1"/>
      <c r="K187" s="1" t="s">
        <v>1881</v>
      </c>
      <c r="L187" s="1"/>
      <c r="M187" s="1"/>
      <c r="N187" s="1"/>
    </row>
    <row r="188" spans="1:14" x14ac:dyDescent="0.25">
      <c r="A188" s="1"/>
      <c r="B188" s="1" t="str">
        <f t="shared" si="2"/>
        <v>eur05-db820.128.56.1012NoMatch</v>
      </c>
      <c r="C188" t="e">
        <f>VLOOKUP($B188, comment!$B$2:$C$401, 2, FALSE)</f>
        <v>#N/A</v>
      </c>
      <c r="D188" s="1" t="s">
        <v>667</v>
      </c>
      <c r="E188" s="1" t="s">
        <v>1754</v>
      </c>
      <c r="F188" s="1" t="s">
        <v>1830</v>
      </c>
      <c r="G188" s="1" t="s">
        <v>1882</v>
      </c>
      <c r="H188" s="1"/>
      <c r="I188" s="1"/>
      <c r="J188" s="1"/>
      <c r="K188" s="1" t="s">
        <v>1881</v>
      </c>
      <c r="L188" s="1"/>
      <c r="M188" s="1"/>
      <c r="N188" s="1"/>
    </row>
    <row r="189" spans="1:14" x14ac:dyDescent="0.25">
      <c r="A189" s="1" t="s">
        <v>10</v>
      </c>
      <c r="B189" s="1" t="str">
        <f t="shared" si="2"/>
        <v>Defaultapc01-pu140.93.254.0InvalidRegion</v>
      </c>
      <c r="C189" t="e">
        <f>VLOOKUP($B189, comment!$B$2:$C$401, 2, FALSE)</f>
        <v>#N/A</v>
      </c>
      <c r="D189" s="1" t="s">
        <v>1946</v>
      </c>
      <c r="E189" s="1" t="s">
        <v>1423</v>
      </c>
      <c r="F189" s="1" t="s">
        <v>1424</v>
      </c>
      <c r="G189" s="1" t="s">
        <v>1883</v>
      </c>
      <c r="H189" s="1" t="s">
        <v>1884</v>
      </c>
      <c r="I189" s="1" t="s">
        <v>968</v>
      </c>
      <c r="J189" s="1" t="s">
        <v>1264</v>
      </c>
      <c r="K189" s="1" t="s">
        <v>1427</v>
      </c>
      <c r="L189" s="1" t="s">
        <v>1940</v>
      </c>
      <c r="M189" s="1" t="s">
        <v>1885</v>
      </c>
      <c r="N189" s="1" t="s">
        <v>1886</v>
      </c>
    </row>
    <row r="190" spans="1:14" x14ac:dyDescent="0.25">
      <c r="A190" s="1" t="s">
        <v>10</v>
      </c>
      <c r="B190" s="1" t="str">
        <f t="shared" si="2"/>
        <v>Defaultnam04-bn325.154.33.62Obsolete</v>
      </c>
      <c r="C190" t="str">
        <f>VLOOKUP($B190, comment!$B$2:$C$401, 2, FALSE)</f>
        <v>delete</v>
      </c>
      <c r="D190" s="1" t="s">
        <v>153</v>
      </c>
      <c r="E190" s="1" t="s">
        <v>1755</v>
      </c>
      <c r="F190" s="1" t="s">
        <v>1666</v>
      </c>
      <c r="G190" s="1" t="s">
        <v>158</v>
      </c>
      <c r="H190" s="1" t="s">
        <v>159</v>
      </c>
      <c r="I190" s="1" t="s">
        <v>156</v>
      </c>
      <c r="J190" s="1" t="s">
        <v>157</v>
      </c>
      <c r="K190" s="1" t="s">
        <v>39</v>
      </c>
      <c r="L190" s="1" t="s">
        <v>40</v>
      </c>
      <c r="M190" s="1"/>
      <c r="N190" s="1" t="s">
        <v>1887</v>
      </c>
    </row>
    <row r="191" spans="1:14" x14ac:dyDescent="0.25">
      <c r="A191" s="1" t="s">
        <v>10</v>
      </c>
      <c r="B191" s="1" t="str">
        <f t="shared" si="2"/>
        <v>Defaultnam02-cy125.154.37.61Obsolete</v>
      </c>
      <c r="C191" t="str">
        <f>VLOOKUP($B191, comment!$B$2:$C$401, 2, FALSE)</f>
        <v>delete</v>
      </c>
      <c r="D191" s="1" t="s">
        <v>146</v>
      </c>
      <c r="E191" s="1" t="s">
        <v>1888</v>
      </c>
      <c r="F191" s="1" t="s">
        <v>1471</v>
      </c>
      <c r="G191" s="1" t="s">
        <v>147</v>
      </c>
      <c r="H191" s="1" t="s">
        <v>148</v>
      </c>
      <c r="I191" s="1" t="s">
        <v>149</v>
      </c>
      <c r="J191" s="1" t="s">
        <v>150</v>
      </c>
      <c r="K191" s="1" t="s">
        <v>39</v>
      </c>
      <c r="L191" s="1" t="s">
        <v>40</v>
      </c>
      <c r="M191" s="1"/>
      <c r="N191" s="1" t="s">
        <v>1889</v>
      </c>
    </row>
    <row r="192" spans="1:14" x14ac:dyDescent="0.25">
      <c r="A192" s="1" t="s">
        <v>10</v>
      </c>
      <c r="B192" s="1" t="str">
        <f t="shared" si="2"/>
        <v>Defaultapc01-pu152.103.129.0InvalidRegion</v>
      </c>
      <c r="C192" t="e">
        <f>VLOOKUP($B192, comment!$B$2:$C$401, 2, FALSE)</f>
        <v>#N/A</v>
      </c>
      <c r="D192" s="1" t="s">
        <v>1946</v>
      </c>
      <c r="E192" s="1" t="s">
        <v>1423</v>
      </c>
      <c r="F192" s="1" t="s">
        <v>1424</v>
      </c>
      <c r="G192" s="1" t="s">
        <v>1890</v>
      </c>
      <c r="H192" s="1" t="s">
        <v>1891</v>
      </c>
      <c r="I192" s="1" t="s">
        <v>968</v>
      </c>
      <c r="J192" s="1" t="s">
        <v>1264</v>
      </c>
      <c r="K192" s="1" t="s">
        <v>1427</v>
      </c>
      <c r="L192" s="1" t="s">
        <v>1940</v>
      </c>
      <c r="M192" s="1" t="s">
        <v>1892</v>
      </c>
      <c r="N192" s="1" t="s">
        <v>1893</v>
      </c>
    </row>
    <row r="193" spans="1:14" x14ac:dyDescent="0.25">
      <c r="A193" s="1" t="s">
        <v>10</v>
      </c>
      <c r="B193" s="1" t="str">
        <f t="shared" si="2"/>
        <v>Defaultusg02-bn32001:489a:2202:c::MismatchedDcName</v>
      </c>
      <c r="C193" t="str">
        <f>VLOOKUP($B193, comment!$B$2:$C$401, 2, FALSE)</f>
        <v>Exception Need to figure out</v>
      </c>
      <c r="D193" s="1" t="s">
        <v>321</v>
      </c>
      <c r="E193" s="1" t="s">
        <v>1665</v>
      </c>
      <c r="F193" s="1" t="s">
        <v>1666</v>
      </c>
      <c r="G193" s="1" t="s">
        <v>344</v>
      </c>
      <c r="H193" s="1" t="s">
        <v>345</v>
      </c>
      <c r="I193" s="1" t="s">
        <v>340</v>
      </c>
      <c r="J193" s="1" t="s">
        <v>341</v>
      </c>
      <c r="K193" s="1" t="s">
        <v>17</v>
      </c>
      <c r="L193" s="1" t="s">
        <v>1878</v>
      </c>
      <c r="M193" s="1" t="s">
        <v>346</v>
      </c>
      <c r="N193" s="1" t="s">
        <v>1900</v>
      </c>
    </row>
    <row r="194" spans="1:14" x14ac:dyDescent="0.25">
      <c r="A194" s="1" t="s">
        <v>10</v>
      </c>
      <c r="B194" s="1" t="str">
        <f t="shared" ref="B194:B257" si="3">A194&amp;D194&amp;G194&amp;K194</f>
        <v>Defaulteur02-he125.154.0.61Obsolete</v>
      </c>
      <c r="C194" t="str">
        <f>VLOOKUP($B194, comment!$B$2:$C$401, 2, FALSE)</f>
        <v>delete</v>
      </c>
      <c r="D194" s="1" t="s">
        <v>79</v>
      </c>
      <c r="E194" s="1" t="s">
        <v>1896</v>
      </c>
      <c r="F194" s="1" t="s">
        <v>1759</v>
      </c>
      <c r="G194" s="1" t="s">
        <v>80</v>
      </c>
      <c r="H194" s="1" t="s">
        <v>81</v>
      </c>
      <c r="I194" s="1" t="s">
        <v>72</v>
      </c>
      <c r="J194" s="1" t="s">
        <v>73</v>
      </c>
      <c r="K194" s="1" t="s">
        <v>39</v>
      </c>
      <c r="L194" s="1" t="s">
        <v>40</v>
      </c>
      <c r="M194" s="1"/>
      <c r="N194" s="1" t="s">
        <v>1898</v>
      </c>
    </row>
    <row r="195" spans="1:14" x14ac:dyDescent="0.25">
      <c r="A195" s="1" t="s">
        <v>10</v>
      </c>
      <c r="B195" s="1" t="str">
        <f t="shared" si="3"/>
        <v>Defaulteur02-ve125.154.1.62Obsolete</v>
      </c>
      <c r="C195" t="e">
        <f>VLOOKUP($B195, comment!$B$2:$C$401, 2, FALSE)</f>
        <v>#N/A</v>
      </c>
      <c r="D195" s="1" t="s">
        <v>1981</v>
      </c>
      <c r="E195" s="1" t="s">
        <v>1896</v>
      </c>
      <c r="F195" s="1" t="s">
        <v>1894</v>
      </c>
      <c r="G195" s="1" t="s">
        <v>83</v>
      </c>
      <c r="H195" s="1" t="s">
        <v>84</v>
      </c>
      <c r="I195" s="1" t="s">
        <v>77</v>
      </c>
      <c r="J195" s="1" t="s">
        <v>78</v>
      </c>
      <c r="K195" s="1" t="s">
        <v>39</v>
      </c>
      <c r="L195" s="1" t="s">
        <v>40</v>
      </c>
      <c r="M195" s="1"/>
      <c r="N195" s="1" t="s">
        <v>1897</v>
      </c>
    </row>
    <row r="196" spans="1:14" x14ac:dyDescent="0.25">
      <c r="A196" s="1" t="s">
        <v>10</v>
      </c>
      <c r="B196" s="1" t="str">
        <f t="shared" si="3"/>
        <v>Defaulteur03-ve125.154.1.61Obsolete</v>
      </c>
      <c r="C196" t="e">
        <f>VLOOKUP($B196, comment!$B$2:$C$401, 2, FALSE)</f>
        <v>#N/A</v>
      </c>
      <c r="D196" s="1" t="s">
        <v>82</v>
      </c>
      <c r="E196" s="1" t="s">
        <v>1963</v>
      </c>
      <c r="F196" s="1" t="s">
        <v>1894</v>
      </c>
      <c r="G196" s="1" t="s">
        <v>75</v>
      </c>
      <c r="H196" s="1" t="s">
        <v>76</v>
      </c>
      <c r="I196" s="1" t="s">
        <v>77</v>
      </c>
      <c r="J196" s="1" t="s">
        <v>78</v>
      </c>
      <c r="K196" s="1" t="s">
        <v>39</v>
      </c>
      <c r="L196" s="1" t="s">
        <v>40</v>
      </c>
      <c r="M196" s="1"/>
      <c r="N196" s="1" t="s">
        <v>1895</v>
      </c>
    </row>
    <row r="197" spans="1:14" x14ac:dyDescent="0.25">
      <c r="A197" s="1" t="s">
        <v>10</v>
      </c>
      <c r="B197" s="1" t="str">
        <f t="shared" si="3"/>
        <v>Defaultnam02-cy125.154.37.62Obsolete</v>
      </c>
      <c r="C197" t="str">
        <f>VLOOKUP($B197, comment!$B$2:$C$401, 2, FALSE)</f>
        <v>delete</v>
      </c>
      <c r="D197" s="1" t="s">
        <v>146</v>
      </c>
      <c r="E197" s="1" t="s">
        <v>1888</v>
      </c>
      <c r="F197" s="1" t="s">
        <v>1471</v>
      </c>
      <c r="G197" s="1" t="s">
        <v>151</v>
      </c>
      <c r="H197" s="1" t="s">
        <v>152</v>
      </c>
      <c r="I197" s="1" t="s">
        <v>149</v>
      </c>
      <c r="J197" s="1" t="s">
        <v>150</v>
      </c>
      <c r="K197" s="1" t="s">
        <v>39</v>
      </c>
      <c r="L197" s="1" t="s">
        <v>40</v>
      </c>
      <c r="M197" s="1"/>
      <c r="N197" s="1" t="s">
        <v>1899</v>
      </c>
    </row>
    <row r="198" spans="1:14" x14ac:dyDescent="0.25">
      <c r="A198" s="1" t="s">
        <v>10</v>
      </c>
      <c r="B198" s="1" t="str">
        <f t="shared" si="3"/>
        <v>Defaultapc01-pu152.103.193.0InvalidRegion</v>
      </c>
      <c r="C198" t="e">
        <f>VLOOKUP($B198, comment!$B$2:$C$401, 2, FALSE)</f>
        <v>#N/A</v>
      </c>
      <c r="D198" s="1" t="s">
        <v>1946</v>
      </c>
      <c r="E198" s="1" t="s">
        <v>1423</v>
      </c>
      <c r="F198" s="1" t="s">
        <v>1424</v>
      </c>
      <c r="G198" s="1" t="s">
        <v>1901</v>
      </c>
      <c r="H198" s="1" t="s">
        <v>1902</v>
      </c>
      <c r="I198" s="1" t="s">
        <v>968</v>
      </c>
      <c r="J198" s="1" t="s">
        <v>1264</v>
      </c>
      <c r="K198" s="1" t="s">
        <v>1427</v>
      </c>
      <c r="L198" s="1" t="s">
        <v>1940</v>
      </c>
      <c r="M198" s="1" t="s">
        <v>1903</v>
      </c>
      <c r="N198" s="1" t="s">
        <v>1904</v>
      </c>
    </row>
    <row r="199" spans="1:14" x14ac:dyDescent="0.25">
      <c r="A199" s="1" t="s">
        <v>10</v>
      </c>
      <c r="B199" s="1" t="str">
        <f t="shared" si="3"/>
        <v>Defaultapac-hk1134.170.132.51MismatchedDcName</v>
      </c>
      <c r="C199" t="str">
        <f>VLOOKUP($B199, comment!$B$2:$C$401, 2, FALSE)</f>
        <v>FSPROD</v>
      </c>
      <c r="D199" s="1" t="s">
        <v>356</v>
      </c>
      <c r="E199" s="1" t="s">
        <v>1524</v>
      </c>
      <c r="F199" s="1" t="s">
        <v>1527</v>
      </c>
      <c r="G199" s="1" t="s">
        <v>378</v>
      </c>
      <c r="H199" s="1" t="s">
        <v>379</v>
      </c>
      <c r="I199" s="1" t="s">
        <v>129</v>
      </c>
      <c r="J199" s="1" t="s">
        <v>130</v>
      </c>
      <c r="K199" s="1" t="s">
        <v>17</v>
      </c>
      <c r="L199" s="1" t="s">
        <v>1905</v>
      </c>
      <c r="M199" s="1" t="s">
        <v>381</v>
      </c>
      <c r="N199" s="1" t="s">
        <v>1906</v>
      </c>
    </row>
    <row r="200" spans="1:14" x14ac:dyDescent="0.25">
      <c r="A200" s="1" t="s">
        <v>10</v>
      </c>
      <c r="B200" s="1" t="str">
        <f t="shared" si="3"/>
        <v>Defaultjpn01-os225.154.92.61Obsolete</v>
      </c>
      <c r="C200" t="str">
        <f>VLOOKUP($B200, comment!$B$2:$C$401, 2, FALSE)</f>
        <v>delete</v>
      </c>
      <c r="D200" s="1" t="s">
        <v>133</v>
      </c>
      <c r="E200" s="1" t="s">
        <v>1847</v>
      </c>
      <c r="F200" s="1" t="s">
        <v>1848</v>
      </c>
      <c r="G200" s="1" t="s">
        <v>134</v>
      </c>
      <c r="H200" s="1" t="s">
        <v>135</v>
      </c>
      <c r="I200" s="1" t="s">
        <v>136</v>
      </c>
      <c r="J200" s="1" t="s">
        <v>30</v>
      </c>
      <c r="K200" s="1" t="s">
        <v>39</v>
      </c>
      <c r="L200" s="1" t="s">
        <v>40</v>
      </c>
      <c r="M200" s="1"/>
      <c r="N200" s="1" t="s">
        <v>1907</v>
      </c>
    </row>
    <row r="201" spans="1:14" x14ac:dyDescent="0.25">
      <c r="A201" s="1" t="s">
        <v>10</v>
      </c>
      <c r="B201" s="1" t="str">
        <f t="shared" si="3"/>
        <v>Defaulteur02-he125.154.0.62Obsolete</v>
      </c>
      <c r="C201" t="e">
        <f>VLOOKUP($B201, comment!$B$2:$C$401, 2, FALSE)</f>
        <v>#N/A</v>
      </c>
      <c r="D201" s="1" t="s">
        <v>79</v>
      </c>
      <c r="E201" s="1" t="s">
        <v>1896</v>
      </c>
      <c r="F201" s="1" t="s">
        <v>1759</v>
      </c>
      <c r="G201" s="1" t="s">
        <v>70</v>
      </c>
      <c r="H201" s="1" t="s">
        <v>71</v>
      </c>
      <c r="I201" s="1" t="s">
        <v>72</v>
      </c>
      <c r="J201" s="1" t="s">
        <v>73</v>
      </c>
      <c r="K201" s="1" t="s">
        <v>39</v>
      </c>
      <c r="L201" s="1" t="s">
        <v>40</v>
      </c>
      <c r="M201" s="1"/>
      <c r="N201" s="1" t="s">
        <v>1908</v>
      </c>
    </row>
    <row r="202" spans="1:14" x14ac:dyDescent="0.25">
      <c r="A202" s="1" t="s">
        <v>10</v>
      </c>
      <c r="B202" s="1" t="str">
        <f t="shared" si="3"/>
        <v>Defaultcan01-to125.154.61.61Obsolete</v>
      </c>
      <c r="C202" t="str">
        <f>VLOOKUP($B202, comment!$B$2:$C$401, 2, FALSE)</f>
        <v>delete</v>
      </c>
      <c r="D202" s="1" t="s">
        <v>57</v>
      </c>
      <c r="E202" s="1" t="s">
        <v>1436</v>
      </c>
      <c r="F202" s="1" t="s">
        <v>1437</v>
      </c>
      <c r="G202" s="1" t="s">
        <v>65</v>
      </c>
      <c r="H202" s="1" t="s">
        <v>66</v>
      </c>
      <c r="I202" s="1" t="s">
        <v>60</v>
      </c>
      <c r="J202" s="1" t="s">
        <v>61</v>
      </c>
      <c r="K202" s="1" t="s">
        <v>39</v>
      </c>
      <c r="L202" s="1" t="s">
        <v>40</v>
      </c>
      <c r="M202" s="1"/>
      <c r="N202" s="1" t="s">
        <v>1915</v>
      </c>
    </row>
    <row r="203" spans="1:14" x14ac:dyDescent="0.25">
      <c r="A203" s="1" t="s">
        <v>10</v>
      </c>
      <c r="B203" s="1" t="str">
        <f t="shared" si="3"/>
        <v>Defaultapc01-pu140.95.254.0InvalidRegion</v>
      </c>
      <c r="C203" t="e">
        <f>VLOOKUP($B203, comment!$B$2:$C$401, 2, FALSE)</f>
        <v>#N/A</v>
      </c>
      <c r="D203" s="1" t="s">
        <v>1946</v>
      </c>
      <c r="E203" s="1" t="s">
        <v>1423</v>
      </c>
      <c r="F203" s="1" t="s">
        <v>1424</v>
      </c>
      <c r="G203" s="1" t="s">
        <v>1909</v>
      </c>
      <c r="H203" s="1" t="s">
        <v>1910</v>
      </c>
      <c r="I203" s="1" t="s">
        <v>968</v>
      </c>
      <c r="J203" s="1" t="s">
        <v>1264</v>
      </c>
      <c r="K203" s="1" t="s">
        <v>1427</v>
      </c>
      <c r="L203" s="1" t="s">
        <v>1940</v>
      </c>
      <c r="M203" s="1" t="s">
        <v>1911</v>
      </c>
      <c r="N203" s="1" t="s">
        <v>1912</v>
      </c>
    </row>
    <row r="204" spans="1:14" x14ac:dyDescent="0.25">
      <c r="A204" s="1" t="s">
        <v>10</v>
      </c>
      <c r="B204" s="1" t="str">
        <f t="shared" si="3"/>
        <v>Defaultapac-hk12a01:111:f400:fc14::51MismatchedDcName</v>
      </c>
      <c r="C204" t="str">
        <f>VLOOKUP($B204, comment!$B$2:$C$401, 2, FALSE)</f>
        <v>FSPROD</v>
      </c>
      <c r="D204" s="1" t="s">
        <v>356</v>
      </c>
      <c r="E204" s="1" t="s">
        <v>1524</v>
      </c>
      <c r="F204" s="1" t="s">
        <v>1527</v>
      </c>
      <c r="G204" s="1" t="s">
        <v>374</v>
      </c>
      <c r="H204" s="1" t="s">
        <v>375</v>
      </c>
      <c r="I204" s="1" t="s">
        <v>88</v>
      </c>
      <c r="J204" s="1"/>
      <c r="K204" s="1" t="s">
        <v>17</v>
      </c>
      <c r="L204" s="1" t="s">
        <v>1913</v>
      </c>
      <c r="M204" s="1" t="s">
        <v>377</v>
      </c>
      <c r="N204" s="1" t="s">
        <v>1914</v>
      </c>
    </row>
    <row r="205" spans="1:14" x14ac:dyDescent="0.25">
      <c r="A205" s="1" t="s">
        <v>10</v>
      </c>
      <c r="B205" s="1" t="str">
        <f t="shared" si="3"/>
        <v>Defaultaus01-me125.154.116.61Obsolete</v>
      </c>
      <c r="C205" t="str">
        <f>VLOOKUP($B205, comment!$B$2:$C$401, 2, FALSE)</f>
        <v>delete</v>
      </c>
      <c r="D205" s="1" t="s">
        <v>34</v>
      </c>
      <c r="E205" s="1" t="s">
        <v>1432</v>
      </c>
      <c r="F205" s="1" t="s">
        <v>1917</v>
      </c>
      <c r="G205" s="1" t="s">
        <v>35</v>
      </c>
      <c r="H205" s="1" t="s">
        <v>36</v>
      </c>
      <c r="I205" s="1" t="s">
        <v>37</v>
      </c>
      <c r="J205" s="1" t="s">
        <v>38</v>
      </c>
      <c r="K205" s="1" t="s">
        <v>39</v>
      </c>
      <c r="L205" s="1" t="s">
        <v>40</v>
      </c>
      <c r="M205" s="1"/>
      <c r="N205" s="1" t="s">
        <v>1918</v>
      </c>
    </row>
    <row r="206" spans="1:14" x14ac:dyDescent="0.25">
      <c r="A206" s="1" t="s">
        <v>10</v>
      </c>
      <c r="B206" s="1" t="str">
        <f t="shared" si="3"/>
        <v>Defaultjpn01-ty125.154.93.61Obsolete</v>
      </c>
      <c r="C206" t="str">
        <f>VLOOKUP($B206, comment!$B$2:$C$401, 2, FALSE)</f>
        <v>delete</v>
      </c>
      <c r="D206" s="1" t="s">
        <v>139</v>
      </c>
      <c r="E206" s="1" t="s">
        <v>1847</v>
      </c>
      <c r="F206" s="1" t="s">
        <v>1919</v>
      </c>
      <c r="G206" s="1" t="s">
        <v>140</v>
      </c>
      <c r="H206" s="1" t="s">
        <v>141</v>
      </c>
      <c r="I206" s="1" t="s">
        <v>142</v>
      </c>
      <c r="J206" s="1" t="s">
        <v>143</v>
      </c>
      <c r="K206" s="1" t="s">
        <v>39</v>
      </c>
      <c r="L206" s="1" t="s">
        <v>40</v>
      </c>
      <c r="M206" s="1"/>
      <c r="N206" s="1" t="s">
        <v>1920</v>
      </c>
    </row>
    <row r="207" spans="1:14" x14ac:dyDescent="0.25">
      <c r="A207" s="1" t="s">
        <v>10</v>
      </c>
      <c r="B207" s="1" t="str">
        <f t="shared" si="3"/>
        <v>Defaultjpn01-os225.154.92.62Obsolete</v>
      </c>
      <c r="C207" t="str">
        <f>VLOOKUP($B207, comment!$B$2:$C$401, 2, FALSE)</f>
        <v>delete</v>
      </c>
      <c r="D207" s="1" t="s">
        <v>133</v>
      </c>
      <c r="E207" s="1" t="s">
        <v>1847</v>
      </c>
      <c r="F207" s="1" t="s">
        <v>1848</v>
      </c>
      <c r="G207" s="1" t="s">
        <v>137</v>
      </c>
      <c r="H207" s="1" t="s">
        <v>138</v>
      </c>
      <c r="I207" s="1" t="s">
        <v>136</v>
      </c>
      <c r="J207" s="1" t="s">
        <v>30</v>
      </c>
      <c r="K207" s="1" t="s">
        <v>39</v>
      </c>
      <c r="L207" s="1" t="s">
        <v>40</v>
      </c>
      <c r="M207" s="1"/>
      <c r="N207" s="1" t="s">
        <v>1916</v>
      </c>
    </row>
    <row r="208" spans="1:14" x14ac:dyDescent="0.25">
      <c r="A208" s="1" t="s">
        <v>10</v>
      </c>
      <c r="B208" s="1" t="str">
        <f t="shared" si="3"/>
        <v>Defaultusg01-cy110.97.89.0EmptyDatacenter</v>
      </c>
      <c r="C208" t="str">
        <f>VLOOKUP($B208, comment!$B$2:$C$401, 2, FALSE)</f>
        <v>Exception Need to figure out</v>
      </c>
      <c r="D208" s="1" t="s">
        <v>308</v>
      </c>
      <c r="E208" s="1" t="s">
        <v>1663</v>
      </c>
      <c r="F208" s="1" t="s">
        <v>1471</v>
      </c>
      <c r="G208" s="1" t="s">
        <v>315</v>
      </c>
      <c r="H208" s="1" t="s">
        <v>316</v>
      </c>
      <c r="I208" s="1"/>
      <c r="J208" s="1"/>
      <c r="K208" s="1" t="s">
        <v>31</v>
      </c>
      <c r="L208" s="1" t="s">
        <v>1450</v>
      </c>
      <c r="M208" s="1" t="s">
        <v>317</v>
      </c>
      <c r="N208" s="1" t="s">
        <v>1921</v>
      </c>
    </row>
    <row r="209" spans="1:14" x14ac:dyDescent="0.25">
      <c r="A209" s="1" t="s">
        <v>10</v>
      </c>
      <c r="B209" s="1" t="str">
        <f t="shared" si="3"/>
        <v>Defaultcan01-to125.154.61.62Obsolete</v>
      </c>
      <c r="C209" t="str">
        <f>VLOOKUP($B209, comment!$B$2:$C$401, 2, FALSE)</f>
        <v>delete</v>
      </c>
      <c r="D209" s="1" t="s">
        <v>57</v>
      </c>
      <c r="E209" s="1" t="s">
        <v>1436</v>
      </c>
      <c r="F209" s="1" t="s">
        <v>1437</v>
      </c>
      <c r="G209" s="1" t="s">
        <v>67</v>
      </c>
      <c r="H209" s="1" t="s">
        <v>68</v>
      </c>
      <c r="I209" s="1" t="s">
        <v>60</v>
      </c>
      <c r="J209" s="1" t="s">
        <v>61</v>
      </c>
      <c r="K209" s="1" t="s">
        <v>39</v>
      </c>
      <c r="L209" s="1" t="s">
        <v>40</v>
      </c>
      <c r="M209" s="1"/>
      <c r="N209" s="1" t="s">
        <v>1922</v>
      </c>
    </row>
    <row r="210" spans="1:14" x14ac:dyDescent="0.25">
      <c r="A210" s="1" t="s">
        <v>10</v>
      </c>
      <c r="B210" s="1" t="str">
        <f t="shared" si="3"/>
        <v>Defaultusg01-dm210.97.90.0EmptyDatacenter</v>
      </c>
      <c r="C210" t="str">
        <f>VLOOKUP($B210, comment!$B$2:$C$401, 2, FALSE)</f>
        <v>Exception Need to figure out</v>
      </c>
      <c r="D210" s="1" t="s">
        <v>318</v>
      </c>
      <c r="E210" s="1" t="s">
        <v>1663</v>
      </c>
      <c r="F210" s="1" t="s">
        <v>1923</v>
      </c>
      <c r="G210" s="1" t="s">
        <v>319</v>
      </c>
      <c r="H210" s="1" t="s">
        <v>320</v>
      </c>
      <c r="I210" s="1"/>
      <c r="J210" s="1"/>
      <c r="K210" s="1" t="s">
        <v>31</v>
      </c>
      <c r="L210" s="1" t="s">
        <v>1450</v>
      </c>
      <c r="M210" s="1" t="s">
        <v>317</v>
      </c>
      <c r="N210" s="1" t="s">
        <v>1924</v>
      </c>
    </row>
    <row r="211" spans="1:14" x14ac:dyDescent="0.25">
      <c r="A211" s="1" t="s">
        <v>10</v>
      </c>
      <c r="B211" s="1" t="str">
        <f t="shared" si="3"/>
        <v>Defaultaus01-me125.154.116.62Obsolete</v>
      </c>
      <c r="C211" t="str">
        <f>VLOOKUP($B211, comment!$B$2:$C$401, 2, FALSE)</f>
        <v>delete</v>
      </c>
      <c r="D211" s="1" t="s">
        <v>34</v>
      </c>
      <c r="E211" s="1" t="s">
        <v>1432</v>
      </c>
      <c r="F211" s="1" t="s">
        <v>1917</v>
      </c>
      <c r="G211" s="1" t="s">
        <v>41</v>
      </c>
      <c r="H211" s="1" t="s">
        <v>42</v>
      </c>
      <c r="I211" s="1" t="s">
        <v>37</v>
      </c>
      <c r="J211" s="1" t="s">
        <v>38</v>
      </c>
      <c r="K211" s="1" t="s">
        <v>39</v>
      </c>
      <c r="L211" s="1" t="s">
        <v>40</v>
      </c>
      <c r="M211" s="1"/>
      <c r="N211" s="1" t="s">
        <v>1926</v>
      </c>
    </row>
    <row r="212" spans="1:14" x14ac:dyDescent="0.25">
      <c r="A212" s="1" t="s">
        <v>10</v>
      </c>
      <c r="B212" s="1" t="str">
        <f t="shared" si="3"/>
        <v>Defaultjpn01-ty125.154.93.62Obsolete</v>
      </c>
      <c r="C212" t="str">
        <f>VLOOKUP($B212, comment!$B$2:$C$401, 2, FALSE)</f>
        <v>delete</v>
      </c>
      <c r="D212" s="1" t="s">
        <v>139</v>
      </c>
      <c r="E212" s="1" t="s">
        <v>1847</v>
      </c>
      <c r="F212" s="1" t="s">
        <v>1919</v>
      </c>
      <c r="G212" s="1" t="s">
        <v>144</v>
      </c>
      <c r="H212" s="1" t="s">
        <v>145</v>
      </c>
      <c r="I212" s="1" t="s">
        <v>142</v>
      </c>
      <c r="J212" s="1" t="s">
        <v>143</v>
      </c>
      <c r="K212" s="1" t="s">
        <v>39</v>
      </c>
      <c r="L212" s="1" t="s">
        <v>40</v>
      </c>
      <c r="M212" s="1"/>
      <c r="N212" s="1" t="s">
        <v>1925</v>
      </c>
    </row>
    <row r="213" spans="1:14" x14ac:dyDescent="0.25">
      <c r="A213" s="1" t="s">
        <v>10</v>
      </c>
      <c r="B213" s="1" t="str">
        <f t="shared" si="3"/>
        <v>Defaultaus01-sy325.154.117.61Obsolete</v>
      </c>
      <c r="C213" t="str">
        <f>VLOOKUP($B213, comment!$B$2:$C$401, 2, FALSE)</f>
        <v>delete</v>
      </c>
      <c r="D213" s="1" t="s">
        <v>43</v>
      </c>
      <c r="E213" s="1" t="s">
        <v>1432</v>
      </c>
      <c r="F213" s="1" t="s">
        <v>1433</v>
      </c>
      <c r="G213" s="1" t="s">
        <v>44</v>
      </c>
      <c r="H213" s="1" t="s">
        <v>45</v>
      </c>
      <c r="I213" s="1" t="s">
        <v>46</v>
      </c>
      <c r="J213" s="1" t="s">
        <v>47</v>
      </c>
      <c r="K213" s="1" t="s">
        <v>39</v>
      </c>
      <c r="L213" s="1" t="s">
        <v>40</v>
      </c>
      <c r="M213" s="1"/>
      <c r="N213" s="1" t="s">
        <v>1929</v>
      </c>
    </row>
    <row r="214" spans="1:14" x14ac:dyDescent="0.25">
      <c r="A214" s="1" t="s">
        <v>10</v>
      </c>
      <c r="B214" s="1" t="str">
        <f t="shared" si="3"/>
        <v>Defaultcan01-qb125.154.60.61Obsolete</v>
      </c>
      <c r="C214" t="str">
        <f>VLOOKUP($B214, comment!$B$2:$C$401, 2, FALSE)</f>
        <v>delete</v>
      </c>
      <c r="D214" s="1" t="s">
        <v>50</v>
      </c>
      <c r="E214" s="1" t="s">
        <v>1436</v>
      </c>
      <c r="F214" s="1" t="s">
        <v>1927</v>
      </c>
      <c r="G214" s="1" t="s">
        <v>51</v>
      </c>
      <c r="H214" s="1" t="s">
        <v>52</v>
      </c>
      <c r="I214" s="1" t="s">
        <v>53</v>
      </c>
      <c r="J214" s="1" t="s">
        <v>54</v>
      </c>
      <c r="K214" s="1" t="s">
        <v>39</v>
      </c>
      <c r="L214" s="1" t="s">
        <v>40</v>
      </c>
      <c r="M214" s="1"/>
      <c r="N214" s="1" t="s">
        <v>1928</v>
      </c>
    </row>
    <row r="215" spans="1:14" x14ac:dyDescent="0.25">
      <c r="A215" s="1" t="s">
        <v>10</v>
      </c>
      <c r="B215" s="1" t="str">
        <f t="shared" si="3"/>
        <v>Defaultusg02-cy110.97.93.0EmptyDatacenter</v>
      </c>
      <c r="C215" t="str">
        <f>VLOOKUP($B215, comment!$B$2:$C$401, 2, FALSE)</f>
        <v>Exception Need to figure out</v>
      </c>
      <c r="D215" s="1" t="s">
        <v>327</v>
      </c>
      <c r="E215" s="1" t="s">
        <v>1665</v>
      </c>
      <c r="F215" s="1" t="s">
        <v>1471</v>
      </c>
      <c r="G215" s="1" t="s">
        <v>328</v>
      </c>
      <c r="H215" s="1" t="s">
        <v>329</v>
      </c>
      <c r="I215" s="1"/>
      <c r="J215" s="1"/>
      <c r="K215" s="1" t="s">
        <v>31</v>
      </c>
      <c r="L215" s="1" t="s">
        <v>1450</v>
      </c>
      <c r="M215" s="1" t="s">
        <v>317</v>
      </c>
      <c r="N215" s="1" t="s">
        <v>1930</v>
      </c>
    </row>
    <row r="216" spans="1:14" x14ac:dyDescent="0.25">
      <c r="A216" s="1" t="s">
        <v>10</v>
      </c>
      <c r="B216" s="1" t="str">
        <f t="shared" si="3"/>
        <v>Defaultaus01-sy325.154.117.62Obsolete</v>
      </c>
      <c r="C216" t="str">
        <f>VLOOKUP($B216, comment!$B$2:$C$401, 2, FALSE)</f>
        <v>delete</v>
      </c>
      <c r="D216" s="1" t="s">
        <v>43</v>
      </c>
      <c r="E216" s="1" t="s">
        <v>1432</v>
      </c>
      <c r="F216" s="1" t="s">
        <v>1433</v>
      </c>
      <c r="G216" s="1" t="s">
        <v>48</v>
      </c>
      <c r="H216" s="1" t="s">
        <v>49</v>
      </c>
      <c r="I216" s="1" t="s">
        <v>46</v>
      </c>
      <c r="J216" s="1" t="s">
        <v>47</v>
      </c>
      <c r="K216" s="1" t="s">
        <v>39</v>
      </c>
      <c r="L216" s="1" t="s">
        <v>40</v>
      </c>
      <c r="M216" s="1"/>
      <c r="N216" s="1" t="s">
        <v>1932</v>
      </c>
    </row>
    <row r="217" spans="1:14" x14ac:dyDescent="0.25">
      <c r="A217" s="1" t="s">
        <v>10</v>
      </c>
      <c r="B217" s="1" t="str">
        <f t="shared" si="3"/>
        <v>Defaultcan01-qb125.154.60.62Obsolete</v>
      </c>
      <c r="C217" t="str">
        <f>VLOOKUP($B217, comment!$B$2:$C$401, 2, FALSE)</f>
        <v>delete</v>
      </c>
      <c r="D217" s="1" t="s">
        <v>50</v>
      </c>
      <c r="E217" s="1" t="s">
        <v>1436</v>
      </c>
      <c r="F217" s="1" t="s">
        <v>1927</v>
      </c>
      <c r="G217" s="1" t="s">
        <v>55</v>
      </c>
      <c r="H217" s="1" t="s">
        <v>56</v>
      </c>
      <c r="I217" s="1" t="s">
        <v>53</v>
      </c>
      <c r="J217" s="1" t="s">
        <v>54</v>
      </c>
      <c r="K217" s="1" t="s">
        <v>39</v>
      </c>
      <c r="L217" s="1" t="s">
        <v>40</v>
      </c>
      <c r="M217" s="1"/>
      <c r="N217" s="1" t="s">
        <v>1931</v>
      </c>
    </row>
    <row r="218" spans="1:14" x14ac:dyDescent="0.25">
      <c r="A218" s="1" t="s">
        <v>1565</v>
      </c>
      <c r="B218" s="1" t="str">
        <f t="shared" si="3"/>
        <v>EXna-by210.1.15.121WrongAddressSpace</v>
      </c>
      <c r="C218" t="e">
        <f>VLOOKUP($B218, comment!$B$2:$C$401, 2, FALSE)</f>
        <v>#N/A</v>
      </c>
      <c r="D218" s="1" t="s">
        <v>990</v>
      </c>
      <c r="E218" s="1" t="s">
        <v>1578</v>
      </c>
      <c r="F218" s="1" t="s">
        <v>1579</v>
      </c>
      <c r="G218" s="1" t="s">
        <v>1933</v>
      </c>
      <c r="H218" s="1" t="s">
        <v>1934</v>
      </c>
      <c r="I218" s="1"/>
      <c r="J218" s="1"/>
      <c r="K218" s="1" t="s">
        <v>1444</v>
      </c>
      <c r="L218" s="1" t="s">
        <v>1525</v>
      </c>
      <c r="M218" s="1" t="s">
        <v>1935</v>
      </c>
      <c r="N218" s="1" t="s">
        <v>1936</v>
      </c>
    </row>
    <row r="219" spans="1:14" x14ac:dyDescent="0.25">
      <c r="A219" s="1" t="s">
        <v>1565</v>
      </c>
      <c r="B219" s="1" t="str">
        <f t="shared" si="3"/>
        <v>EXna-by210.1.15.121EmptyDatacenter</v>
      </c>
      <c r="C219" t="e">
        <f>VLOOKUP($B219, comment!$B$2:$C$401, 2, FALSE)</f>
        <v>#N/A</v>
      </c>
      <c r="D219" s="1" t="s">
        <v>990</v>
      </c>
      <c r="E219" s="1" t="s">
        <v>1578</v>
      </c>
      <c r="F219" s="1" t="s">
        <v>1579</v>
      </c>
      <c r="G219" s="1" t="s">
        <v>1933</v>
      </c>
      <c r="H219" s="1" t="s">
        <v>1934</v>
      </c>
      <c r="I219" s="1"/>
      <c r="J219" s="1"/>
      <c r="K219" s="1" t="s">
        <v>31</v>
      </c>
      <c r="L219" s="1" t="s">
        <v>1450</v>
      </c>
      <c r="M219" s="1" t="s">
        <v>1935</v>
      </c>
      <c r="N219" s="1" t="s">
        <v>1936</v>
      </c>
    </row>
    <row r="220" spans="1:14" x14ac:dyDescent="0.25">
      <c r="A220" s="1" t="s">
        <v>10</v>
      </c>
      <c r="B220" s="1" t="str">
        <f t="shared" si="3"/>
        <v>Defaultusg01-dm22001:489a:203:4a::MismatchedDcName</v>
      </c>
      <c r="C220" t="str">
        <f>VLOOKUP($B220, comment!$B$2:$C$401, 2, FALSE)</f>
        <v>Exception Need to figure out</v>
      </c>
      <c r="D220" s="1" t="s">
        <v>318</v>
      </c>
      <c r="E220" s="1" t="s">
        <v>1663</v>
      </c>
      <c r="F220" s="1" t="s">
        <v>1923</v>
      </c>
      <c r="G220" s="1" t="s">
        <v>334</v>
      </c>
      <c r="H220" s="1" t="s">
        <v>335</v>
      </c>
      <c r="I220" s="1" t="s">
        <v>214</v>
      </c>
      <c r="J220" s="1" t="s">
        <v>215</v>
      </c>
      <c r="K220" s="1" t="s">
        <v>17</v>
      </c>
      <c r="L220" s="1" t="s">
        <v>1937</v>
      </c>
      <c r="M220" s="1" t="s">
        <v>337</v>
      </c>
      <c r="N220" s="1" t="s">
        <v>1938</v>
      </c>
    </row>
    <row r="221" spans="1:14" x14ac:dyDescent="0.25">
      <c r="A221" s="1" t="s">
        <v>10</v>
      </c>
      <c r="B221" s="1" t="str">
        <f t="shared" si="3"/>
        <v>Defaultusg01-cy12001:489a:203:49::MismatchedDcName</v>
      </c>
      <c r="C221" t="str">
        <f>VLOOKUP($B221, comment!$B$2:$C$401, 2, FALSE)</f>
        <v>Exception Need to figure out</v>
      </c>
      <c r="D221" s="1" t="s">
        <v>308</v>
      </c>
      <c r="E221" s="1" t="s">
        <v>1663</v>
      </c>
      <c r="F221" s="1" t="s">
        <v>1471</v>
      </c>
      <c r="G221" s="1" t="s">
        <v>330</v>
      </c>
      <c r="H221" s="1" t="s">
        <v>331</v>
      </c>
      <c r="I221" s="1" t="s">
        <v>236</v>
      </c>
      <c r="J221" s="1" t="s">
        <v>237</v>
      </c>
      <c r="K221" s="1" t="s">
        <v>17</v>
      </c>
      <c r="L221" s="1" t="s">
        <v>332</v>
      </c>
      <c r="M221" s="1" t="s">
        <v>333</v>
      </c>
      <c r="N221" s="1" t="s">
        <v>1939</v>
      </c>
    </row>
    <row r="222" spans="1:14" x14ac:dyDescent="0.25">
      <c r="A222" s="1"/>
      <c r="B222" s="1"/>
      <c r="C222" t="e">
        <f>VLOOKUP($B222, comment!$B$2:$C$401, 2, FALSE)</f>
        <v>#N/A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workbookViewId="0">
      <selection activeCell="A2" sqref="A2"/>
    </sheetView>
  </sheetViews>
  <sheetFormatPr defaultRowHeight="13.8" x14ac:dyDescent="0.25"/>
  <cols>
    <col min="1" max="1" width="17.5546875" bestFit="1" customWidth="1"/>
    <col min="2" max="2" width="17.5546875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1411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 t="shared" ref="B2:B65" si="0">A2&amp;D2&amp;E2&amp;I2</f>
        <v>Defaultgtm-fsdf-by110.1.16.31EmptyDatacenter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 t="shared" si="0"/>
        <v>Defaultcan01-to125.154.189.4InvalidTitle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 t="shared" si="0"/>
        <v>Defaultfsdf-by110.1.116.81MismatchedDcName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25">
      <c r="A5" s="1" t="s">
        <v>10</v>
      </c>
      <c r="B5" s="1" t="str">
        <f t="shared" si="0"/>
        <v>Defaultfsdf-sn22a01:111:f400:7c09:0:0:0:16MismatchedDcName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25">
      <c r="A6" s="1" t="s">
        <v>10</v>
      </c>
      <c r="B6" s="1" t="str">
        <f t="shared" si="0"/>
        <v>Defaultaus01-me125.154.116.61Obsolete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 t="shared" si="0"/>
        <v>Defaultaus01-me125.154.116.62Obsolete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 t="shared" si="0"/>
        <v>Defaultaus01-sy325.154.117.61Obsolete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 t="shared" si="0"/>
        <v>Defaultaus01-sy325.154.117.62Obsolete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 t="shared" si="0"/>
        <v>Defaultcan01-qb125.154.60.61Obsolete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 t="shared" si="0"/>
        <v>Defaultcan01-qb125.154.60.62Obsolete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 t="shared" si="0"/>
        <v>Defaultcan01-to125.154.61.61Obsolete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 t="shared" si="0"/>
        <v>Defaultcan01-to125.154.61.62Obsolete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 t="shared" si="0"/>
        <v>Defaulteur01-he125.154.0.62Obsolete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 t="shared" si="0"/>
        <v>Defaulteur01-ve125.154.1.61Obsolete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 t="shared" si="0"/>
        <v>Defaulteur02-he125.154.0.61Obsolete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 t="shared" si="0"/>
        <v>Defaulteur03-ve125.154.1.62Obsolete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 t="shared" si="0"/>
        <v>Defaultgtm-func-sn210.20.8.129Obsolete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 t="shared" si="0"/>
        <v>Defaultgtm-syncgroup01-bl225.154.38.61Obsolete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 t="shared" si="0"/>
        <v>Defaultgtm-syncgroup01-bl225.154.38.62Obsolete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 t="shared" si="0"/>
        <v>Defaultgtm-syncgroup01-by225.154.34.61Obsolete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 t="shared" si="0"/>
        <v>Defaultgtm-syncgroup01-by225.154.34.62Obsolete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 t="shared" si="0"/>
        <v>Defaultgtm-syncgroup01-db525.154.2.61Obsolete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 t="shared" si="0"/>
        <v>Defaultgtm-syncgroup01-db525.154.2.62Obsolete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 t="shared" si="0"/>
        <v>Defaultgtm-syncgroup01-hk225.154.124.61Obsolete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 t="shared" si="0"/>
        <v>Defaultgtm-syncgroup02-am325.154.4.61Obsolete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 t="shared" si="0"/>
        <v>Defaultgtm-syncgroup02-am325.154.4.62Obsolete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 t="shared" si="0"/>
        <v>Defaultgtm-syncgroup02-co125.154.40.61Obsolete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 t="shared" si="0"/>
        <v>Defaultgtm-syncgroup02-co125.154.40.62Obsolete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 t="shared" si="0"/>
        <v>Defaultgtm-syncgroup02-sg225.154.125.61Obsolete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 t="shared" si="0"/>
        <v>Defaultgtm-syncgroup02-sg225.154.125.62Obsolete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 t="shared" si="0"/>
        <v>Defaultjpn01-os225.154.92.61Obsolete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 t="shared" si="0"/>
        <v>Defaultjpn01-os225.154.92.62Obsolete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 t="shared" si="0"/>
        <v>Defaultjpn01-ty125.154.93.61Obsolete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 t="shared" si="0"/>
        <v>Defaultjpn01-ty125.154.93.62Obsolete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 t="shared" si="0"/>
        <v>Defaultnam02-cy125.154.37.61Obsolete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 t="shared" si="0"/>
        <v>Defaultnam02-cy125.154.37.62Obsolete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 t="shared" si="0"/>
        <v>Defaultnam04-bn325.154.33.61Obsolete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 t="shared" si="0"/>
        <v>Defaultnam04-bn325.154.33.62Obsolete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 t="shared" si="0"/>
        <v>Defaultnam04-sn125.154.32.61Obsolete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 t="shared" si="0"/>
        <v>Defaultnam04-sn125.154.32.62Obsolete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 t="shared" si="0"/>
        <v>Defaultnam05-dm325.154.41.61Obsolete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25">
      <c r="A43" s="1" t="s">
        <v>10</v>
      </c>
      <c r="B43" s="1" t="str">
        <f t="shared" si="0"/>
        <v>Defaultnam05-dm325.154.41.62Obsolete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25">
      <c r="A44" s="1" t="s">
        <v>10</v>
      </c>
      <c r="B44" s="1" t="str">
        <f t="shared" si="0"/>
        <v>Defaultsap01-pu125.154.124.62Obsolete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25">
      <c r="A45" s="1" t="s">
        <v>10</v>
      </c>
      <c r="B45" s="1" t="str">
        <f t="shared" si="0"/>
        <v>Defaultson02-db521.3.1.5Obsolete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25">
      <c r="A46" s="1" t="s">
        <v>10</v>
      </c>
      <c r="B46" s="1" t="str">
        <f t="shared" si="0"/>
        <v>Defaultusg01-cy110.97.73.61EmptyDatacenter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25">
      <c r="A47" s="1" t="s">
        <v>10</v>
      </c>
      <c r="B47" s="1" t="str">
        <f t="shared" si="0"/>
        <v>Defaultusg01-cy123.103.199.32EmptyDatacenter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25">
      <c r="A48" s="1" t="s">
        <v>10</v>
      </c>
      <c r="B48" s="1" t="str">
        <f t="shared" si="0"/>
        <v>Defaultusg01-cy110.97.89.0EmptyDatacenter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 t="shared" si="0"/>
        <v>Defaultusg01-dm210.97.90.0EmptyDatacenter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25">
      <c r="A50" s="1" t="s">
        <v>10</v>
      </c>
      <c r="B50" s="1" t="str">
        <f t="shared" si="0"/>
        <v>Defaultusg02-bn310.97.76.61EmptyDatacenter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25">
      <c r="A51" s="1" t="s">
        <v>10</v>
      </c>
      <c r="B51" s="1" t="str">
        <f t="shared" si="0"/>
        <v>Defaultusg02-bn323.103.199.128EmptyDatacenter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25">
      <c r="A52" s="1" t="s">
        <v>10</v>
      </c>
      <c r="B52" s="1" t="str">
        <f t="shared" si="0"/>
        <v>Defaultusg02-cy110.97.93.0EmptyDatacenter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25">
      <c r="A53" s="1" t="s">
        <v>10</v>
      </c>
      <c r="B53" s="1" t="str">
        <f t="shared" si="0"/>
        <v>Defaultsit01-ph210.40.88.4MismatchedDcName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25">
      <c r="A54" s="1" t="s">
        <v>10</v>
      </c>
      <c r="B54" s="1" t="str">
        <f t="shared" si="0"/>
        <v>Defaultsit01-ph210.40.72.5MismatchedDcName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25">
      <c r="A55" s="1" t="s">
        <v>10</v>
      </c>
      <c r="B55" s="1" t="str">
        <f t="shared" si="0"/>
        <v>Defaultsit01-ph2104.212.59.0MismatchedDcName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25">
      <c r="A56" s="1" t="s">
        <v>10</v>
      </c>
      <c r="B56" s="1" t="str">
        <f t="shared" si="0"/>
        <v>Defaultsit01-ph22001:489a:2202:1000::MismatchedDcName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25">
      <c r="A57" s="1" t="s">
        <v>10</v>
      </c>
      <c r="B57" s="1" t="str">
        <f t="shared" si="0"/>
        <v>Defaultsit01-ph22001:489a:203:18::MismatchedDcName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25">
      <c r="A58" s="1" t="s">
        <v>10</v>
      </c>
      <c r="B58" s="1" t="str">
        <f t="shared" si="0"/>
        <v>Defaultsit01-ph22001:489a:203:38::MismatchedDcName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25">
      <c r="A59" s="1" t="s">
        <v>10</v>
      </c>
      <c r="B59" s="1" t="str">
        <f t="shared" si="0"/>
        <v>Defaultsit01-sn510.40.90.4MismatchedDcName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25">
      <c r="A60" s="1" t="s">
        <v>10</v>
      </c>
      <c r="B60" s="1" t="str">
        <f t="shared" si="0"/>
        <v>Defaultsit01-sn510.40.74.5MismatchedDcName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25">
      <c r="A61" s="1" t="s">
        <v>10</v>
      </c>
      <c r="B61" s="1" t="str">
        <f t="shared" si="0"/>
        <v>Defaultsit01-sn510.40.106.0MismatchedDcName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25">
      <c r="A62" s="1" t="s">
        <v>10</v>
      </c>
      <c r="B62" s="1" t="str">
        <f t="shared" si="0"/>
        <v>Defaultsit01-sn5104.212.58.0MismatchedDcName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25">
      <c r="A63" s="1" t="s">
        <v>10</v>
      </c>
      <c r="B63" s="1" t="str">
        <f t="shared" si="0"/>
        <v>Defaultsit01-sn52001:489a:2202:1001::MismatchedDcName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25">
      <c r="A64" s="1" t="s">
        <v>10</v>
      </c>
      <c r="B64" s="1" t="str">
        <f t="shared" si="0"/>
        <v>Defaultsit01-sn52001:489a:203:19::MismatchedDcName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25">
      <c r="A65" s="1" t="s">
        <v>10</v>
      </c>
      <c r="B65" s="1" t="str">
        <f t="shared" si="0"/>
        <v>Defaultsit01-sn52001:489a:203:39::MismatchedDcName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25">
      <c r="A66" s="1" t="s">
        <v>10</v>
      </c>
      <c r="B66" s="1" t="str">
        <f t="shared" ref="B66:B129" si="1">A66&amp;D66&amp;E66&amp;I66</f>
        <v>Defaultsit01-sn510.97.75.61MismatchedDcName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25">
      <c r="A67" s="1" t="s">
        <v>10</v>
      </c>
      <c r="B67" s="1" t="str">
        <f t="shared" si="1"/>
        <v>Defaultsit01-sn52001:489a:203:b::MismatchedDcName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25">
      <c r="A68" s="1" t="s">
        <v>10</v>
      </c>
      <c r="B68" s="1" t="str">
        <f t="shared" si="1"/>
        <v>Defaultsit02-ph210.40.92.4MismatchedDcName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25">
      <c r="A69" s="1" t="s">
        <v>10</v>
      </c>
      <c r="B69" s="1" t="str">
        <f t="shared" si="1"/>
        <v>Defaultsit02-ph210.40.76.5MismatchedDcName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25">
      <c r="A70" s="1" t="s">
        <v>10</v>
      </c>
      <c r="B70" s="1" t="str">
        <f t="shared" si="1"/>
        <v>Defaultsit02-ph210.40.108.0MismatchedDcName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25">
      <c r="A71" s="1" t="s">
        <v>10</v>
      </c>
      <c r="B71" s="1" t="str">
        <f t="shared" si="1"/>
        <v>Defaultsit02-ph2104.212.58.128MismatchedDcName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25">
      <c r="A72" s="1" t="s">
        <v>10</v>
      </c>
      <c r="B72" s="1" t="str">
        <f t="shared" si="1"/>
        <v>Defaultsit02-ph22001:489a:2202:1002::MismatchedDcName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25">
      <c r="A73" s="1" t="s">
        <v>10</v>
      </c>
      <c r="B73" s="1" t="str">
        <f t="shared" si="1"/>
        <v>Defaultsit02-ph22001:489a:203:1a::MismatchedDcName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25">
      <c r="A74" s="1" t="s">
        <v>10</v>
      </c>
      <c r="B74" s="1" t="str">
        <f t="shared" si="1"/>
        <v>Defaultsit02-ph22001:489a:203:3a::MismatchedDcName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25">
      <c r="A75" s="1" t="s">
        <v>10</v>
      </c>
      <c r="B75" s="1" t="str">
        <f t="shared" si="1"/>
        <v>Defaultsit02-sn510.40.94.4MismatchedDcName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25">
      <c r="A76" s="1" t="s">
        <v>10</v>
      </c>
      <c r="B76" s="1" t="str">
        <f t="shared" si="1"/>
        <v>Defaultsit02-sn510.40.78.5MismatchedDcName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25">
      <c r="A77" s="1" t="s">
        <v>10</v>
      </c>
      <c r="B77" s="1" t="str">
        <f t="shared" si="1"/>
        <v>Defaultsit02-sn510.40.110.0MismatchedDcName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25">
      <c r="A78" s="1" t="s">
        <v>10</v>
      </c>
      <c r="B78" s="1" t="str">
        <f t="shared" si="1"/>
        <v>Defaultsit02-sn5104.212.59.128MismatchedDcName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25">
      <c r="A79" s="1" t="s">
        <v>10</v>
      </c>
      <c r="B79" s="1" t="str">
        <f t="shared" si="1"/>
        <v>Defaultsit02-sn52001:489a:2202:1003::MismatchedDcName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25">
      <c r="A80" s="1" t="s">
        <v>10</v>
      </c>
      <c r="B80" s="1" t="str">
        <f t="shared" si="1"/>
        <v>Defaultsit02-sn52001:489a:203:1b::MismatchedDcName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25">
      <c r="A81" s="1" t="s">
        <v>10</v>
      </c>
      <c r="B81" s="1" t="str">
        <f t="shared" si="1"/>
        <v>Defaultsit02-sn52001:489a:203:3b::MismatchedDcName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25">
      <c r="A82" s="1" t="s">
        <v>10</v>
      </c>
      <c r="B82" s="1" t="str">
        <f t="shared" si="1"/>
        <v>Defaultusg01-cy12001:489a:203:49::MismatchedDcName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25">
      <c r="A83" s="1" t="s">
        <v>10</v>
      </c>
      <c r="B83" s="1" t="str">
        <f t="shared" si="1"/>
        <v>Defaultusg01-dm22001:489a:203:4a::MismatchedDcName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25">
      <c r="A84" s="1" t="s">
        <v>10</v>
      </c>
      <c r="B84" s="1" t="str">
        <f t="shared" si="1"/>
        <v>Defaultusg02-bn32001:489a:2202:4::MismatchedDcName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25">
      <c r="A85" s="1" t="s">
        <v>10</v>
      </c>
      <c r="B85" s="1" t="str">
        <f t="shared" si="1"/>
        <v>Defaultusg02-bn32001:489a:2202:c::MismatchedDcName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25">
      <c r="A86" s="1" t="s">
        <v>10</v>
      </c>
      <c r="B86" s="1" t="str">
        <f t="shared" si="1"/>
        <v>Defaultusg02-cy12001:489a:2202:5::MismatchedDcName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25">
      <c r="A87" s="1" t="s">
        <v>10</v>
      </c>
      <c r="B87" s="1" t="str">
        <f t="shared" si="1"/>
        <v>Defaultusg02-cy12001:489a:2202:d::MismatchedDcName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25">
      <c r="A88" s="1" t="s">
        <v>10</v>
      </c>
      <c r="B88" s="1" t="str">
        <f t="shared" si="1"/>
        <v>Defaultna-sn42a01:111:e400:fc86::EmptyDatacenter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25">
      <c r="A89" s="1" t="s">
        <v>10</v>
      </c>
      <c r="B89" s="1" t="str">
        <f t="shared" si="1"/>
        <v>Defaultapac-hk110.24.152.17InvalidTitle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25">
      <c r="A90" s="1" t="s">
        <v>10</v>
      </c>
      <c r="B90" s="1" t="str">
        <f t="shared" si="1"/>
        <v>Defaultapac-hk110.24.151.8InvalidTitle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25">
      <c r="A91" s="1" t="s">
        <v>10</v>
      </c>
      <c r="B91" s="1" t="str">
        <f t="shared" si="1"/>
        <v>Defaultapac-hk1207.46.51.106InvalidTitle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25">
      <c r="A92" s="1" t="s">
        <v>10</v>
      </c>
      <c r="B92" s="1" t="str">
        <f t="shared" si="1"/>
        <v>Defaultapac-hk1134.170.140.244InvalidTitle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25">
      <c r="A93" s="1" t="s">
        <v>10</v>
      </c>
      <c r="B93" s="1" t="str">
        <f t="shared" si="1"/>
        <v>Defaultapac-hk12a01:111:f400:fc18:0:0:0:299InvalidTitle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25">
      <c r="A94" s="1" t="s">
        <v>10</v>
      </c>
      <c r="B94" s="1" t="str">
        <f t="shared" si="1"/>
        <v>Defaultapac-ku125.154.250.4InvalidTitle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25">
      <c r="A95" s="1" t="s">
        <v>10</v>
      </c>
      <c r="B95" s="1" t="str">
        <f t="shared" si="1"/>
        <v>Defaultapac-ku125.152.244.5InvalidTitle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25">
      <c r="A96" s="1" t="s">
        <v>10</v>
      </c>
      <c r="B96" s="1" t="str">
        <f t="shared" si="1"/>
        <v>Defaultapac-ku125.154.122.0InvalidTitle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25">
      <c r="A97" s="1" t="s">
        <v>10</v>
      </c>
      <c r="B97" s="1" t="str">
        <f t="shared" si="1"/>
        <v>Defaultapac-ku1104.47.122.0InvalidTitle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25">
      <c r="A98" s="1" t="s">
        <v>10</v>
      </c>
      <c r="B98" s="1" t="str">
        <f t="shared" si="1"/>
        <v>Defaultapac-ku12a01:111:f400:feba::InvalidTitle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25">
      <c r="A99" s="1" t="s">
        <v>10</v>
      </c>
      <c r="B99" s="1" t="str">
        <f t="shared" si="1"/>
        <v>Defaultapac-ku12a01:111:f400:7eba::InvalidTitle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25">
      <c r="A100" s="1" t="s">
        <v>10</v>
      </c>
      <c r="B100" s="1" t="str">
        <f t="shared" si="1"/>
        <v>Defaultapc02-ku165.55.88.96InvalidTitle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25">
      <c r="A101" s="1" t="s">
        <v>10</v>
      </c>
      <c r="B101" s="1" t="str">
        <f t="shared" si="1"/>
        <v>Defaultapc02-ku12a01:111:e400:7fba::InvalidTitle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25">
      <c r="A102" s="1" t="s">
        <v>10</v>
      </c>
      <c r="B102" s="1" t="str">
        <f t="shared" si="1"/>
        <v>Defaultapc02-ku12a01:111:e400:7eba::InvalidTitle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25">
      <c r="A103" s="1" t="s">
        <v>10</v>
      </c>
      <c r="B103" s="1" t="str">
        <f t="shared" si="1"/>
        <v>Defaultemea-am110.174.68.8InvalidTitle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25">
      <c r="A104" s="1" t="s">
        <v>10</v>
      </c>
      <c r="B104" s="1" t="str">
        <f t="shared" si="1"/>
        <v>Defaultemea-am1213.199.154.23InvalidTitle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25">
      <c r="A105" s="1" t="s">
        <v>10</v>
      </c>
      <c r="B105" s="1" t="str">
        <f t="shared" si="1"/>
        <v>Defaultemea-am1157.56.112.244InvalidTitle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25">
      <c r="A106" s="1" t="s">
        <v>10</v>
      </c>
      <c r="B106" s="1" t="str">
        <f t="shared" si="1"/>
        <v>Defaultemea-am12a01:111:f400:fe00:0:0:0:299InvalidTitle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25">
      <c r="A107" s="1" t="s">
        <v>10</v>
      </c>
      <c r="B107" s="1" t="str">
        <f t="shared" si="1"/>
        <v>Defaultemea-db310.47.220.14InvalidTitle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25">
      <c r="A108" s="1" t="s">
        <v>10</v>
      </c>
      <c r="B108" s="1" t="str">
        <f t="shared" si="1"/>
        <v>Defaultemea-db310.47.216.18InvalidTitle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25">
      <c r="A109" s="1" t="s">
        <v>10</v>
      </c>
      <c r="B109" s="1" t="str">
        <f t="shared" si="1"/>
        <v>Defaultemea-db3213.199.154.87InvalidTitle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25">
      <c r="A110" s="1" t="s">
        <v>10</v>
      </c>
      <c r="B110" s="1" t="str">
        <f t="shared" si="1"/>
        <v>Defaultemea-db3157.55.234.244InvalidTitle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25">
      <c r="A111" s="1" t="s">
        <v>10</v>
      </c>
      <c r="B111" s="1" t="str">
        <f t="shared" si="1"/>
        <v>Defaultemea-db32a01:111:f400:fe04:0:0:0:299InvalidTitle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25">
      <c r="A112" s="1" t="s">
        <v>10</v>
      </c>
      <c r="B112" s="1" t="str">
        <f t="shared" si="1"/>
        <v>Defaultna-bn1a10.58.50.11MismatchedDcName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25">
      <c r="A113" s="1" t="s">
        <v>10</v>
      </c>
      <c r="B113" s="1" t="str">
        <f t="shared" si="1"/>
        <v>Defaultna-bn1a207.46.163.138MismatchedDcName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25">
      <c r="A114" s="1" t="s">
        <v>10</v>
      </c>
      <c r="B114" s="1" t="str">
        <f t="shared" si="1"/>
        <v>Defaultna-bn1a2a01:111:e400:7c11:0:0:0:16MismatchedDcName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25">
      <c r="A115" s="1" t="s">
        <v>10</v>
      </c>
      <c r="B115" s="1" t="str">
        <f t="shared" si="1"/>
        <v>Defaultna-bn1b10.58.144.8MismatchedDcName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25">
      <c r="A116" s="1" t="s">
        <v>10</v>
      </c>
      <c r="B116" s="1" t="str">
        <f t="shared" si="1"/>
        <v>Defaultna-bn1b207.46.163.170MismatchedDcName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25">
      <c r="A117" s="1" t="s">
        <v>10</v>
      </c>
      <c r="B117" s="1" t="str">
        <f t="shared" si="1"/>
        <v>Defaultna-bn1b157.56.111.244MismatchedDcName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25">
      <c r="A118" s="1" t="s">
        <v>10</v>
      </c>
      <c r="B118" s="1" t="str">
        <f t="shared" si="1"/>
        <v>Defaultna-bn1b2a01:111:f400:fc10:0:0:1:299MismatchedDcName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25">
      <c r="A119" s="1" t="s">
        <v>10</v>
      </c>
      <c r="B119" s="1" t="str">
        <f t="shared" si="1"/>
        <v>Defaultna-bn1b2a01:111:e400:7c16:0:0:0:16MismatchedDcName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25">
      <c r="A120" s="1" t="s">
        <v>10</v>
      </c>
      <c r="B120" s="1" t="str">
        <f t="shared" si="1"/>
        <v>Defaultapac-hk12a01:111:f400:fc14::51MismatchedDcName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25">
      <c r="A121" s="1" t="s">
        <v>10</v>
      </c>
      <c r="B121" s="1" t="str">
        <f t="shared" si="1"/>
        <v>Defaultapac-hk1134.170.132.51MismatchedDcName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25">
      <c r="A122" s="1" t="s">
        <v>10</v>
      </c>
      <c r="B122" s="1" t="str">
        <f t="shared" si="1"/>
        <v>Defaultna-bn1aN/ANoMappingDcName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25">
      <c r="A123" s="1" t="s">
        <v>10</v>
      </c>
      <c r="B123" s="1" t="str">
        <f t="shared" si="1"/>
        <v>Defaultna-bn1bN/ANoMappingDcName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25">
      <c r="A124" s="1" t="s">
        <v>10</v>
      </c>
      <c r="B124" s="1" t="str">
        <f t="shared" si="1"/>
        <v>Defaultgls01-cyb20.128.100.5MismatchedDcName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25">
      <c r="A125" s="1" t="s">
        <v>10</v>
      </c>
      <c r="B125" s="1" t="str">
        <f t="shared" si="1"/>
        <v>Defaultgls01-cyb2a01:111:e400:7e6f::MismatchedDcName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25">
      <c r="A126" s="1" t="s">
        <v>10</v>
      </c>
      <c r="B126" s="1" t="str">
        <f t="shared" si="1"/>
        <v>Defaultgls01-cyb157.56.209.200MismatchedDcName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25">
      <c r="A127" s="1" t="s">
        <v>10</v>
      </c>
      <c r="B127" s="1" t="str">
        <f t="shared" si="1"/>
        <v>Defaultgls01-cyb2a01:111:f400:fe5f::MismatchedDcName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25">
      <c r="A128" s="1" t="s">
        <v>10</v>
      </c>
      <c r="B128" s="1" t="str">
        <f t="shared" si="1"/>
        <v>Defaultgls01-cyb104.47.118.128MismatchedDcName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25">
      <c r="A129" s="1" t="s">
        <v>10</v>
      </c>
      <c r="B129" s="1" t="str">
        <f t="shared" si="1"/>
        <v>Defaultjpn01-os22a01:111:f400:7e9c::MismatchedDcName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25">
      <c r="A130" s="1" t="s">
        <v>10</v>
      </c>
      <c r="B130" s="1" t="str">
        <f t="shared" ref="B130:B193" si="2">A130&amp;D130&amp;E130&amp;I130</f>
        <v>Defaultjpn01-os252.103.139.0MismatchedDcName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25">
      <c r="A131" s="1" t="s">
        <v>10</v>
      </c>
      <c r="B131" s="1" t="str">
        <f t="shared" si="2"/>
        <v>Defaultjpn01-os252.103.203.0MismatchedDcName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25">
      <c r="A132" s="1" t="s">
        <v>10</v>
      </c>
      <c r="B132" s="1" t="str">
        <f t="shared" si="2"/>
        <v>Defaultjpn01-os240.95.244.0MismatchedDcName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25">
      <c r="A133" s="1" t="s">
        <v>10</v>
      </c>
      <c r="B133" s="1" t="str">
        <f t="shared" si="2"/>
        <v>Defaultaus01-sy365.55.88.160EmptyDatacenter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25">
      <c r="A134" s="1" t="s">
        <v>10</v>
      </c>
      <c r="B134" s="1" t="str">
        <f t="shared" si="2"/>
        <v>Defaultchn02-sh010.41.142.4EmptyDatacenter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25">
      <c r="A135" s="1" t="s">
        <v>10</v>
      </c>
      <c r="B135" s="1" t="str">
        <f t="shared" si="2"/>
        <v>Defaulteur05-am640.93.95.0EmptyDatacenter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 t="shared" si="2"/>
        <v>Defaulteur05-am652.101.89.0EmptyDatacenter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 t="shared" si="2"/>
        <v>Defaulteur05-db840.93.93.0EmptyDatacenter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 t="shared" si="2"/>
        <v>Defaulteur05-vi140.93.94.0EmptyDatacenter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 t="shared" si="2"/>
        <v>Defaulteur05-vi152.101.88.0EmptyDatacenter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 t="shared" si="2"/>
        <v>Defaultgas01-dm323.103.157.224EmptyDatacenter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 t="shared" si="2"/>
        <v>Defaultgbr01-cwl21.3.148.0EmptyDatacenter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 t="shared" si="2"/>
        <v>Defaultgbr01-lo221.3.149.0EmptyDatacenter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 t="shared" si="2"/>
        <v>Defaultgls01-dm610.40.82.116EmptyDatacenter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25">
      <c r="A144" s="1" t="s">
        <v>10</v>
      </c>
      <c r="B144" s="1" t="str">
        <f t="shared" si="2"/>
        <v>Defaultgls01-dm6104.47.118.160EmptyDatacenter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25">
      <c r="A145" s="1" t="s">
        <v>10</v>
      </c>
      <c r="B145" s="1" t="str">
        <f t="shared" si="2"/>
        <v>Defaultgls01-sg225.155.62.0EmptyDatacenter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 t="shared" si="2"/>
        <v>Defaultgls01-sn425.155.30.5EmptyDatacenter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 t="shared" si="2"/>
        <v>Defaultgls07-cy110.40.122.4EmptyDatacenter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 t="shared" si="2"/>
        <v>Defaultgtm-gls07-syncgroup01-cy110.40.114.0EmptyDatacenter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 t="shared" si="2"/>
        <v>Defaultgtm-gls07-syncgroup01-sn510.40.112.8EmptyDatacenter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 t="shared" si="2"/>
        <v>Defaultgtm-gls07-syncgroup02-cy123.103.191.32EmptyDatacenter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 t="shared" si="2"/>
        <v>Defaultind01-bo121.3.101.0EmptyDatacenter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 t="shared" si="2"/>
        <v>Defaultind01-ma121.3.100.0EmptyDatacenter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 t="shared" si="2"/>
        <v>Defaultkor01-sl240.95.243.0EmptyDatacenter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25">
      <c r="A154" s="1" t="s">
        <v>10</v>
      </c>
      <c r="B154" s="1" t="str">
        <f t="shared" si="2"/>
        <v>Defaultnam01-bn340.93.0.0EmptyDatacenter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 t="shared" si="2"/>
        <v>Defaultnam01-bn352.100.0.0EmptyDatacenter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 t="shared" si="2"/>
        <v>Defaultnam01-by240.93.1.0EmptyDatacenter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25">
      <c r="A157" s="1" t="s">
        <v>10</v>
      </c>
      <c r="B157" s="1" t="str">
        <f t="shared" si="2"/>
        <v>Defaultnam01-by252.100.1.0EmptyDatacenter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25">
      <c r="A158" s="1" t="s">
        <v>10</v>
      </c>
      <c r="B158" s="1" t="str">
        <f t="shared" si="2"/>
        <v>Defaultnam02-cy140.93.4.0EmptyDatacenter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25">
      <c r="A159" s="1" t="s">
        <v>10</v>
      </c>
      <c r="B159" s="1" t="str">
        <f t="shared" si="2"/>
        <v>Defaultnam02-cy152.100.4.0EmptyDatacenter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25">
      <c r="A160" s="1" t="s">
        <v>10</v>
      </c>
      <c r="B160" s="1" t="str">
        <f t="shared" si="2"/>
        <v>Defaultnam03-by240.93.6.0EmptyDatacenter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25">
      <c r="A161" s="1" t="s">
        <v>10</v>
      </c>
      <c r="B161" s="1" t="str">
        <f t="shared" si="2"/>
        <v>Defaultnam03-by252.100.6.0EmptyDatacenter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25">
      <c r="A162" s="1" t="s">
        <v>10</v>
      </c>
      <c r="B162" s="1" t="str">
        <f t="shared" si="2"/>
        <v>Defaultnam04-bn340.93.9.0EmptyDatacenter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25">
      <c r="A163" s="1" t="s">
        <v>10</v>
      </c>
      <c r="B163" s="1" t="str">
        <f t="shared" si="2"/>
        <v>Defaultnam04-bn352.100.9.0EmptyDatacenter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25">
      <c r="A164" s="1" t="s">
        <v>10</v>
      </c>
      <c r="B164" s="1" t="str">
        <f t="shared" si="2"/>
        <v>Defaultnam05-by240.93.13.0EmptyDatacenter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25">
      <c r="A165" s="1" t="s">
        <v>10</v>
      </c>
      <c r="B165" s="1" t="str">
        <f t="shared" si="2"/>
        <v>Defaultnam05-by252.100.12.0EmptyDatacenter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25">
      <c r="A166" s="1" t="s">
        <v>10</v>
      </c>
      <c r="B166" s="1" t="str">
        <f t="shared" si="2"/>
        <v>Defaultnam05-co140.93.12.0EmptyDatacenter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25">
      <c r="A167" s="1" t="s">
        <v>10</v>
      </c>
      <c r="B167" s="1" t="str">
        <f t="shared" si="2"/>
        <v>Defaultnam05-co152.100.13.0EmptyDatacenter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25">
      <c r="A168" s="1" t="s">
        <v>10</v>
      </c>
      <c r="B168" s="1" t="str">
        <f t="shared" si="2"/>
        <v>Defaultnam07-bn140.93.25.0EmptyDatacenter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25">
      <c r="A169" s="1" t="s">
        <v>10</v>
      </c>
      <c r="B169" s="1" t="str">
        <f t="shared" si="2"/>
        <v>Defaultnam07-dm340.93.23.0EmptyDatacenter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25">
      <c r="A170" s="1" t="s">
        <v>10</v>
      </c>
      <c r="B170" s="1" t="str">
        <f t="shared" si="2"/>
        <v>Defaultnam07-dm352.100.30.0EmptyDatacenter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25">
      <c r="A171" s="1" t="s">
        <v>10</v>
      </c>
      <c r="B171" s="1" t="str">
        <f t="shared" si="2"/>
        <v>Defaultnam07-sn140.93.24.0EmptyDatacenter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25">
      <c r="A172" s="1" t="s">
        <v>10</v>
      </c>
      <c r="B172" s="1" t="str">
        <f t="shared" si="2"/>
        <v>Defaultnam07-sn152.100.31.0EmptyDatacenter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25">
      <c r="A173" s="1" t="s">
        <v>10</v>
      </c>
      <c r="B173" s="1" t="str">
        <f t="shared" si="2"/>
        <v>Defaultnam08-bn840.93.46.0EmptyDatacenter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25">
      <c r="A174" s="1" t="s">
        <v>10</v>
      </c>
      <c r="B174" s="1" t="str">
        <f t="shared" si="2"/>
        <v>Defaultnam08-bn852.100.34.0EmptyDatacenter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25">
      <c r="A175" s="1" t="s">
        <v>10</v>
      </c>
      <c r="B175" s="1" t="str">
        <f t="shared" si="2"/>
        <v>Defaultnam08-dm640.93.44.0EmptyDatacenter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25">
      <c r="A176" s="1" t="s">
        <v>10</v>
      </c>
      <c r="B176" s="1" t="str">
        <f t="shared" si="2"/>
        <v>Defaultnam08-dm652.100.32.0EmptyDatacenter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25">
      <c r="A177" s="1" t="s">
        <v>10</v>
      </c>
      <c r="B177" s="1" t="str">
        <f t="shared" si="2"/>
        <v>Defaultnam08-mw240.93.45.0EmptyDatacenter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25">
      <c r="A178" s="1" t="s">
        <v>10</v>
      </c>
      <c r="B178" s="1" t="str">
        <f t="shared" si="2"/>
        <v>Defaultnam08-mw252.100.33.0EmptyDatacenter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25">
      <c r="A179" s="1" t="s">
        <v>10</v>
      </c>
      <c r="B179" s="1" t="str">
        <f t="shared" si="2"/>
        <v>Defaultnam10-bn740.93.20.0EmptyDatacenter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25">
      <c r="A180" s="1" t="s">
        <v>10</v>
      </c>
      <c r="B180" s="1" t="str">
        <f t="shared" si="2"/>
        <v>Defaultnam10-bn752.100.27.0EmptyDatacenter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25">
      <c r="A181" s="1" t="s">
        <v>10</v>
      </c>
      <c r="B181" s="1" t="str">
        <f t="shared" si="2"/>
        <v>Defaultnam11-bn840.93.28.0EmptyDatacenter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25">
      <c r="A182" s="1" t="s">
        <v>10</v>
      </c>
      <c r="B182" s="1" t="str">
        <f t="shared" si="2"/>
        <v>Defaultnam11-bn852.101.36.0EmptyDatacenter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25">
      <c r="A183" s="1" t="s">
        <v>10</v>
      </c>
      <c r="B183" s="1" t="str">
        <f t="shared" si="2"/>
        <v>Defaultnam12-bn840.93.29.0EmptyDatacenter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25">
      <c r="A184" s="1" t="s">
        <v>10</v>
      </c>
      <c r="B184" s="1" t="str">
        <f t="shared" si="2"/>
        <v>Defaultnam12-bn852.101.18.0EmptyDatacenter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25">
      <c r="A185" s="1" t="s">
        <v>10</v>
      </c>
      <c r="B185" s="1" t="str">
        <f t="shared" si="2"/>
        <v>Defaultseu01-he110.118.138.0EmptyDatacenter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25">
      <c r="A186" s="1" t="s">
        <v>10</v>
      </c>
      <c r="B186" s="1" t="str">
        <f t="shared" si="2"/>
        <v>Defaultseu01-vi110.118.140.0EmptyDatacenter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25">
      <c r="A187" s="1" t="s">
        <v>10</v>
      </c>
      <c r="B187" s="1" t="str">
        <f t="shared" si="2"/>
        <v>Defaultseu02-am010.118.146.0EmptyDatacenter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25">
      <c r="A188" s="1" t="s">
        <v>10</v>
      </c>
      <c r="B188" s="1" t="str">
        <f t="shared" si="2"/>
        <v>Defaultseu02-he110.118.142.0EmptyDatacenter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25">
      <c r="A189" s="1" t="s">
        <v>10</v>
      </c>
      <c r="B189" s="1" t="str">
        <f t="shared" si="2"/>
        <v>Defaultseu02-vi110.118.130.0EmptyDatacenter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25">
      <c r="A190" s="1" t="s">
        <v>10</v>
      </c>
      <c r="B190" s="1" t="str">
        <f t="shared" si="2"/>
        <v>Defaultseu03-he110.118.152.0EmptyDatacenter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25">
      <c r="A191" s="1" t="s">
        <v>10</v>
      </c>
      <c r="B191" s="1" t="str">
        <f t="shared" si="2"/>
        <v>Defaultseu03-pr210.118.156.0EmptyDatacenter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25">
      <c r="A192" s="1" t="s">
        <v>10</v>
      </c>
      <c r="B192" s="1" t="str">
        <f t="shared" si="2"/>
        <v>Defaultseu04-am025.153.54.4EmptyDatacenter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25">
      <c r="A193" s="1" t="s">
        <v>10</v>
      </c>
      <c r="B193" s="1" t="str">
        <f t="shared" si="2"/>
        <v>Defaultseu04-am010.13.128.0EmptyDatacenter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25">
      <c r="A194" s="1" t="s">
        <v>10</v>
      </c>
      <c r="B194" s="1" t="str">
        <f t="shared" ref="B194:B257" si="3">A194&amp;D194&amp;E194&amp;I194</f>
        <v>Defaultseu04-he110.13.130.0EmptyDatacenter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25">
      <c r="A195" s="1" t="s">
        <v>10</v>
      </c>
      <c r="B195" s="1" t="str">
        <f t="shared" si="3"/>
        <v>Defaultseu04-pr210.13.132.0EmptyDatacenter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25">
      <c r="A196" s="1" t="s">
        <v>10</v>
      </c>
      <c r="B196" s="1" t="str">
        <f t="shared" si="3"/>
        <v>Defaultsfr01-mr210.114.128.128EmptyDatacenter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25">
      <c r="A197" s="1" t="s">
        <v>10</v>
      </c>
      <c r="B197" s="1" t="str">
        <f t="shared" si="3"/>
        <v>Defaultsit01-ph210.40.104.0EmptyDatacenter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25">
      <c r="A198" s="1" t="s">
        <v>10</v>
      </c>
      <c r="B198" s="1" t="str">
        <f t="shared" si="3"/>
        <v>Defaultsit01-ph210.97.78.61EmptyDatacenter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25">
      <c r="A199" s="1" t="s">
        <v>10</v>
      </c>
      <c r="B199" s="1" t="str">
        <f t="shared" si="3"/>
        <v>Defaultsna02-cy410.118.182.0EmptyDatacenter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25">
      <c r="A200" s="1" t="s">
        <v>10</v>
      </c>
      <c r="B200" s="1" t="str">
        <f t="shared" si="3"/>
        <v>Defaultsna03-cy410.118.176.0EmptyDatacenter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25">
      <c r="A201" s="1" t="s">
        <v>10</v>
      </c>
      <c r="B201" s="1" t="str">
        <f t="shared" si="3"/>
        <v>Defaultsna03-mwh10.118.178.0EmptyDatacenter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25">
      <c r="A202" s="1" t="s">
        <v>10</v>
      </c>
      <c r="B202" s="1" t="str">
        <f t="shared" si="3"/>
        <v>Defaultsna03-sn410.118.172.0EmptyDatacenter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25">
      <c r="A203" s="1" t="s">
        <v>10</v>
      </c>
      <c r="B203" s="1" t="str">
        <f t="shared" si="3"/>
        <v>Defaultsna05-bl010.13.138.0EmptyDatacenter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25">
      <c r="A204" s="1" t="s">
        <v>10</v>
      </c>
      <c r="B204" s="1" t="str">
        <f t="shared" si="3"/>
        <v>Defaultsna05-dm610.13.136.0EmptyDatacenter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25">
      <c r="A205" s="1" t="s">
        <v>10</v>
      </c>
      <c r="B205" s="1" t="str">
        <f t="shared" si="3"/>
        <v>Defaultsna05-sn410.13.134.0EmptyDatacenter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25">
      <c r="A206" s="1" t="s">
        <v>10</v>
      </c>
      <c r="B206" s="1" t="str">
        <f t="shared" si="3"/>
        <v>Defaultson01-dm321.3.17.5EmptyDatacenter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25">
      <c r="A207" s="1" t="s">
        <v>10</v>
      </c>
      <c r="B207" s="1" t="str">
        <f t="shared" si="3"/>
        <v>Defaultson01-sn121.3.12.5EmptyDatacenter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25">
      <c r="A208" s="1" t="s">
        <v>10</v>
      </c>
      <c r="B208" s="1" t="str">
        <f t="shared" si="3"/>
        <v>Defaultson02-am521.3.136.4EmptyDatacenter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25">
      <c r="A209" s="1" t="s">
        <v>10</v>
      </c>
      <c r="B209" s="1" t="str">
        <f t="shared" si="3"/>
        <v>Defaultzaf01-ct210.114.154.64EmptyDatacenter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25">
      <c r="A210" s="1" t="s">
        <v>10</v>
      </c>
      <c r="B210" s="1" t="str">
        <f t="shared" si="3"/>
        <v>Defaultzaf01-jn210.114.154.0EmptyDatacenter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25">
      <c r="A211" s="1" t="s">
        <v>10</v>
      </c>
      <c r="B211" s="1" t="str">
        <f t="shared" si="3"/>
        <v>Defaultare01-au220.128.4.132InvalidTitle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25">
      <c r="A212" s="1" t="s">
        <v>10</v>
      </c>
      <c r="B212" s="1" t="str">
        <f t="shared" si="3"/>
        <v>Defaultare01-au210.233.246.5InvalidTitle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25">
      <c r="A213" s="1" t="s">
        <v>10</v>
      </c>
      <c r="B213" s="1" t="str">
        <f t="shared" si="3"/>
        <v>Defaultare01-au22a01:111:e400:fc26::InvalidTitle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25">
      <c r="A214" s="1" t="s">
        <v>10</v>
      </c>
      <c r="B214" s="1" t="str">
        <f t="shared" si="3"/>
        <v>Defaultare01-au223.103.134.64InvalidTitle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25">
      <c r="A215" s="1" t="s">
        <v>10</v>
      </c>
      <c r="B215" s="1" t="str">
        <f t="shared" si="3"/>
        <v>Defaultare01-au22a01:111:f400:7ea6::InvalidTitle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25">
      <c r="A216" s="1" t="s">
        <v>10</v>
      </c>
      <c r="B216" s="1" t="str">
        <f t="shared" si="3"/>
        <v>Defaultare01-au210.233.244.128InvalidTitle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25">
      <c r="A217" s="1" t="s">
        <v>10</v>
      </c>
      <c r="B217" s="1" t="str">
        <f t="shared" si="3"/>
        <v>Defaultare01-au22a01:111:e400:fc28::InvalidTitle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25">
      <c r="A218" s="1" t="s">
        <v>10</v>
      </c>
      <c r="B218" s="1" t="str">
        <f t="shared" si="3"/>
        <v>Defaultare01-au22a01:111:e400:3807::InvalidTitle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25">
      <c r="A219" s="1" t="s">
        <v>10</v>
      </c>
      <c r="B219" s="1" t="str">
        <f t="shared" si="3"/>
        <v>Defaultare01-au240.95.238.0InvalidTitle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25">
      <c r="A220" s="1" t="s">
        <v>10</v>
      </c>
      <c r="B220" s="1" t="str">
        <f t="shared" si="3"/>
        <v>Defaultare01-au2104.47.84.0InvalidTitle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25">
      <c r="A221" s="1" t="s">
        <v>10</v>
      </c>
      <c r="B221" s="1" t="str">
        <f t="shared" si="3"/>
        <v>Defaultare01-au240.94.229.0InvalidTitle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25">
      <c r="A222" s="1" t="s">
        <v>10</v>
      </c>
      <c r="B222" s="1" t="str">
        <f t="shared" si="3"/>
        <v>Defaultaus01-sy325.154.245.4InvalidTitle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25">
      <c r="A223" s="1" t="s">
        <v>10</v>
      </c>
      <c r="B223" s="1" t="str">
        <f t="shared" si="3"/>
        <v>Defaultaus01-sy325.152.234.5InvalidTitle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25">
      <c r="A224" s="1" t="s">
        <v>10</v>
      </c>
      <c r="B224" s="1" t="str">
        <f t="shared" si="3"/>
        <v>Defaultaus01-sy3104.47.117.0InvalidTitle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25">
      <c r="A225" s="1" t="s">
        <v>10</v>
      </c>
      <c r="B225" s="1" t="str">
        <f t="shared" si="3"/>
        <v>Defaultaus01-sy32a01:111:f400:feb5::InvalidTitle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25">
      <c r="A226" s="1" t="s">
        <v>10</v>
      </c>
      <c r="B226" s="1" t="str">
        <f t="shared" si="3"/>
        <v>Defaultaus01-sy32a01:111:e400:fcb5::InvalidTitle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25">
      <c r="A227" s="1" t="s">
        <v>10</v>
      </c>
      <c r="B227" s="1" t="str">
        <f t="shared" si="3"/>
        <v>Defaultaus01-sy321.3.245.0InvalidTitle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25">
      <c r="A228" s="1" t="s">
        <v>10</v>
      </c>
      <c r="B228" s="1" t="str">
        <f t="shared" si="3"/>
        <v>Defaultaus01-sy32a01:111:e400:38b5::InvalidTitle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25">
      <c r="A229" s="1" t="s">
        <v>10</v>
      </c>
      <c r="B229" s="1" t="str">
        <f t="shared" si="3"/>
        <v>Defaultche01-gv020.128.5.84InvalidTitle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25">
      <c r="A230" s="1" t="s">
        <v>10</v>
      </c>
      <c r="B230" s="1" t="str">
        <f t="shared" si="3"/>
        <v>Defaultche01-gv040.107.23.0InvalidTitle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25">
      <c r="A231" s="1" t="s">
        <v>10</v>
      </c>
      <c r="B231" s="1" t="str">
        <f t="shared" si="3"/>
        <v>Defaultche01-gv052.101.153.0InvalidTitle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25">
      <c r="A232" s="1" t="s">
        <v>10</v>
      </c>
      <c r="B232" s="1" t="str">
        <f t="shared" si="3"/>
        <v>Defaultche01-gv040.92.92.0InvalidTitle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25">
      <c r="A233" s="1" t="s">
        <v>10</v>
      </c>
      <c r="B233" s="1" t="str">
        <f t="shared" si="3"/>
        <v>Defaultche01-gv0104.47.22.0InvalidTitle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25">
      <c r="A234" s="1" t="s">
        <v>10</v>
      </c>
      <c r="B234" s="1" t="str">
        <f t="shared" si="3"/>
        <v>Defaultche01-zr020.128.5.92InvalidTitle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25">
      <c r="A235" s="1" t="s">
        <v>10</v>
      </c>
      <c r="B235" s="1" t="str">
        <f t="shared" si="3"/>
        <v>Defaultche01-zr020.128.122.0InvalidTitle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25">
      <c r="A236" s="1" t="s">
        <v>10</v>
      </c>
      <c r="B236" s="1" t="str">
        <f t="shared" si="3"/>
        <v>Defaultche01-zr02a01:111:e400:fc2a::InvalidTitle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25">
      <c r="A237" s="1" t="s">
        <v>10</v>
      </c>
      <c r="B237" s="1" t="str">
        <f t="shared" si="3"/>
        <v>Defaultche01-zr040.95.92.0InvalidTitle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25">
      <c r="A238" s="1" t="s">
        <v>10</v>
      </c>
      <c r="B238" s="1" t="str">
        <f t="shared" si="3"/>
        <v>Defaultche01-zr040.107.24.0InvalidTitle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25">
      <c r="A239" s="1" t="s">
        <v>10</v>
      </c>
      <c r="B239" s="1" t="str">
        <f t="shared" si="3"/>
        <v>Defaultche01-zr052.101.154.0InvalidTitle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25">
      <c r="A240" s="1" t="s">
        <v>10</v>
      </c>
      <c r="B240" s="1" t="str">
        <f t="shared" si="3"/>
        <v>Defaultche01-zr040.92.93.0InvalidTitle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25">
      <c r="A241" s="1" t="s">
        <v>10</v>
      </c>
      <c r="B241" s="1" t="str">
        <f t="shared" si="3"/>
        <v>Defaultche01-zr0104.47.22.64InvalidTitle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25">
      <c r="A242" s="1" t="s">
        <v>10</v>
      </c>
      <c r="B242" s="1" t="str">
        <f t="shared" si="3"/>
        <v>Defaultdeu01-be020.128.5.4InvalidTitle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25">
      <c r="A243" s="1" t="s">
        <v>10</v>
      </c>
      <c r="B243" s="1" t="str">
        <f t="shared" si="3"/>
        <v>Defaultdeu01-be020.128.125.0InvalidTitle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25">
      <c r="A244" s="1" t="s">
        <v>10</v>
      </c>
      <c r="B244" s="1" t="str">
        <f t="shared" si="3"/>
        <v>Defaultdeu01-be02a01:111:e400:7f12::InvalidTitle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25">
      <c r="A245" s="1" t="s">
        <v>10</v>
      </c>
      <c r="B245" s="1" t="str">
        <f t="shared" si="3"/>
        <v>Defaultdeu01-be023.103.132.208InvalidTitle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25">
      <c r="A246" s="1" t="s">
        <v>10</v>
      </c>
      <c r="B246" s="1" t="str">
        <f t="shared" si="3"/>
        <v>Defaultdeu01-be040.107.127.0InvalidTitle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25">
      <c r="A247" s="1" t="s">
        <v>10</v>
      </c>
      <c r="B247" s="1" t="str">
        <f t="shared" si="3"/>
        <v>Defaultdeu01-fr240.95.91.0InvalidTitle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25">
      <c r="A248" s="1" t="s">
        <v>10</v>
      </c>
      <c r="B248" s="1" t="str">
        <f t="shared" si="3"/>
        <v>Defaultdeu01-fr240.107.135.0InvalidTitle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25">
      <c r="A249" s="1" t="s">
        <v>10</v>
      </c>
      <c r="B249" s="1" t="str">
        <f t="shared" si="3"/>
        <v>Defaulteur04-vi125.153.28.4InvalidTitle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25">
      <c r="A250" s="1" t="s">
        <v>10</v>
      </c>
      <c r="B250" s="1" t="str">
        <f t="shared" si="3"/>
        <v>Defaulteur04-vi125.152.28.0InvalidTitle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25">
      <c r="A251" s="1" t="s">
        <v>10</v>
      </c>
      <c r="B251" s="1" t="str">
        <f t="shared" si="3"/>
        <v>Defaulteur04-vi123.103.133.192InvalidTitle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25">
      <c r="A252" s="1" t="s">
        <v>10</v>
      </c>
      <c r="B252" s="1" t="str">
        <f t="shared" si="3"/>
        <v>Defaulteur04-vi1104.47.14.0InvalidTitle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25">
      <c r="A253" s="1" t="s">
        <v>10</v>
      </c>
      <c r="B253" s="1" t="str">
        <f t="shared" si="3"/>
        <v>Defaulteur04-vi12a01:111:f400:fe0e::InvalidTitle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25">
      <c r="A254" s="1" t="s">
        <v>10</v>
      </c>
      <c r="B254" s="1" t="str">
        <f t="shared" si="3"/>
        <v>Defaulteur04-vi12a01:111:e400:7e0e::InvalidTitle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25">
      <c r="A255" s="1" t="s">
        <v>10</v>
      </c>
      <c r="B255" s="1" t="str">
        <f t="shared" si="3"/>
        <v>Defaulteur04-vi12a01:111:f400:7e0e::InvalidTitle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25">
      <c r="A256" s="1" t="s">
        <v>10</v>
      </c>
      <c r="B256" s="1" t="str">
        <f t="shared" si="3"/>
        <v>Defaulteur05-vi120.128.56.132InvalidTitle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25">
      <c r="A257" s="1" t="s">
        <v>10</v>
      </c>
      <c r="B257" s="1" t="str">
        <f t="shared" si="3"/>
        <v>Defaulteur05-vi110.233.242.0InvalidTitle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25">
      <c r="A258" s="1" t="s">
        <v>10</v>
      </c>
      <c r="B258" s="1" t="str">
        <f t="shared" ref="B258:B321" si="4">A258&amp;D258&amp;E258&amp;I258</f>
        <v>Defaulteur05-vi12a01:111:e400:fc12::InvalidTitle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25">
      <c r="A259" s="1" t="s">
        <v>10</v>
      </c>
      <c r="B259" s="1" t="str">
        <f t="shared" si="4"/>
        <v>Defaulteur05-vi12a01:111:e400:7f11::InvalidTitle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25">
      <c r="A260" s="1" t="s">
        <v>10</v>
      </c>
      <c r="B260" s="1" t="str">
        <f t="shared" si="4"/>
        <v>Defaulteur05-vi123.103.134.0InvalidTitle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25">
      <c r="A261" s="1" t="s">
        <v>10</v>
      </c>
      <c r="B261" s="1" t="str">
        <f t="shared" si="4"/>
        <v>Defaulteur05-vi12a01:111:f400:7d00::InvalidTitle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25">
      <c r="A262" s="1" t="s">
        <v>10</v>
      </c>
      <c r="B262" s="1" t="str">
        <f t="shared" si="4"/>
        <v>Defaulteur07-am02a01:111:f400:fe13::InvalidTitle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25">
      <c r="A263" s="1" t="s">
        <v>10</v>
      </c>
      <c r="B263" s="1" t="str">
        <f t="shared" si="4"/>
        <v>Defaultfra01-pr210.233.128.0InvalidTitle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25">
      <c r="A264" s="1" t="s">
        <v>10</v>
      </c>
      <c r="B264" s="1" t="str">
        <f t="shared" si="4"/>
        <v>Defaultfra01-pr210.118.128.0InvalidTitle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25">
      <c r="A265" s="1" t="s">
        <v>10</v>
      </c>
      <c r="B265" s="1" t="str">
        <f t="shared" si="4"/>
        <v>Defaultgas01-db523.103.145.0InvalidTitle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25">
      <c r="A266" s="1" t="s">
        <v>10</v>
      </c>
      <c r="B266" s="1" t="str">
        <f t="shared" si="4"/>
        <v>Defaultgas01-sg223.103.153.0InvalidTitle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25">
      <c r="A267" s="1" t="s">
        <v>10</v>
      </c>
      <c r="B267" s="1" t="str">
        <f t="shared" si="4"/>
        <v>Defaultgbr01-lo22a01:111:e400:3b15::InvalidTitle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25">
      <c r="A268" s="1" t="s">
        <v>10</v>
      </c>
      <c r="B268" s="1" t="str">
        <f t="shared" si="4"/>
        <v>Defaultgcc02-bl010.97.10.0InvalidTitle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25">
      <c r="A269" s="1" t="s">
        <v>10</v>
      </c>
      <c r="B269" s="1" t="str">
        <f t="shared" si="4"/>
        <v>Defaultgcc02-bl0104.47.64.0InvalidTitle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25">
      <c r="A270" s="1" t="s">
        <v>10</v>
      </c>
      <c r="B270" s="1" t="str">
        <f t="shared" si="4"/>
        <v>Defaultger01-lej25.157.208.4InvalidTitle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25">
      <c r="A271" s="1" t="s">
        <v>10</v>
      </c>
      <c r="B271" s="1" t="str">
        <f t="shared" si="4"/>
        <v>Defaultger01-lej25.157.128.5InvalidTitle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25">
      <c r="A272" s="1" t="s">
        <v>10</v>
      </c>
      <c r="B272" s="1" t="str">
        <f t="shared" si="4"/>
        <v>Defaultger01-lej25.157.144.61InvalidTitle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25">
      <c r="A273" s="1" t="s">
        <v>10</v>
      </c>
      <c r="B273" s="1" t="str">
        <f t="shared" si="4"/>
        <v>Defaultger01-lej2a01:4180:c050:400::InvalidTitle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25">
      <c r="A274" s="1" t="s">
        <v>10</v>
      </c>
      <c r="B274" s="1" t="str">
        <f t="shared" si="4"/>
        <v>Defaultger01-lej2a01:4180:c050:420::InvalidTitle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25">
      <c r="A275" s="1" t="s">
        <v>10</v>
      </c>
      <c r="B275" s="1" t="str">
        <f t="shared" si="4"/>
        <v>Defaultger01-lej25.157.144.128InvalidTitle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25">
      <c r="A276" s="1" t="s">
        <v>10</v>
      </c>
      <c r="B276" s="1" t="str">
        <f t="shared" si="4"/>
        <v>Defaultger01-lej2a01:4180:c050:440::InvalidTitle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25">
      <c r="A277" s="1" t="s">
        <v>10</v>
      </c>
      <c r="B277" s="1" t="str">
        <f t="shared" si="4"/>
        <v>Defaultger01-lej51.5.80.0InvalidTitle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25">
      <c r="A278" s="1" t="s">
        <v>10</v>
      </c>
      <c r="B278" s="1" t="str">
        <f t="shared" si="4"/>
        <v>Defaultger01-lej2a01:4180:4051:800::InvalidTitle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25">
      <c r="A279" s="1" t="s">
        <v>10</v>
      </c>
      <c r="B279" s="1" t="str">
        <f t="shared" si="4"/>
        <v>Defaultger01-lej51.5.72.0InvalidTitle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25">
      <c r="A280" s="1" t="s">
        <v>10</v>
      </c>
      <c r="B280" s="1" t="str">
        <f t="shared" si="4"/>
        <v>Defaultger01-lej2a01:4180:4051:400::InvalidTitle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25">
      <c r="A281" s="1" t="s">
        <v>10</v>
      </c>
      <c r="B281" s="1" t="str">
        <f t="shared" si="4"/>
        <v>Defaultger01-lej25.157.192.0InvalidTitle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25">
      <c r="A282" s="1" t="s">
        <v>10</v>
      </c>
      <c r="B282" s="1" t="str">
        <f t="shared" si="4"/>
        <v>Defaultger01-lej2a01:4180:c051:800::InvalidTitle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25">
      <c r="A283" s="1" t="s">
        <v>10</v>
      </c>
      <c r="B283" s="1" t="str">
        <f t="shared" si="4"/>
        <v>Defaultger01-lej2a01:4180:c051:820::InvalidTitle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25">
      <c r="A284" s="1" t="s">
        <v>10</v>
      </c>
      <c r="B284" s="1" t="str">
        <f t="shared" si="4"/>
        <v>Defaultger01-lej25.157.208.128InvalidTitle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25">
      <c r="A285" s="1" t="s">
        <v>10</v>
      </c>
      <c r="B285" s="1" t="str">
        <f t="shared" si="4"/>
        <v>Defaultger01-lej2a01:4180:c051:840::InvalidTitle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25">
      <c r="A286" s="1" t="s">
        <v>10</v>
      </c>
      <c r="B286" s="1" t="str">
        <f t="shared" si="4"/>
        <v>Defaultger01-lej25.157.160.0InvalidTitle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25">
      <c r="A287" s="1" t="s">
        <v>10</v>
      </c>
      <c r="B287" s="1" t="str">
        <f t="shared" si="4"/>
        <v>Defaultger01-lej25.157.224.0InvalidTitle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25">
      <c r="A288" s="1" t="s">
        <v>10</v>
      </c>
      <c r="B288" s="1" t="str">
        <f t="shared" si="4"/>
        <v>Defaultger01-lej25.157.168.0InvalidTitle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25">
      <c r="A289" s="1" t="s">
        <v>10</v>
      </c>
      <c r="B289" s="1" t="str">
        <f t="shared" si="4"/>
        <v>Defaultgls01-hk225.155.220.4InvalidTitle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25">
      <c r="A290" s="1" t="s">
        <v>10</v>
      </c>
      <c r="B290" s="1" t="str">
        <f t="shared" si="4"/>
        <v>Defaultgls01-hk221.3.78.5InvalidTitle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25">
      <c r="A291" s="1" t="s">
        <v>10</v>
      </c>
      <c r="B291" s="1" t="str">
        <f t="shared" si="4"/>
        <v>Defaultgls01-hk221.2.206.0InvalidTitle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25">
      <c r="A292" s="1" t="s">
        <v>10</v>
      </c>
      <c r="B292" s="1" t="str">
        <f t="shared" si="4"/>
        <v>Defaultgls01-hk223.103.155.128InvalidTitle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25">
      <c r="A293" s="1" t="s">
        <v>10</v>
      </c>
      <c r="B293" s="1" t="str">
        <f t="shared" si="4"/>
        <v>Defaultgls01-hk22a01:111:f400:ff8e::InvalidTitle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25">
      <c r="A294" s="1" t="s">
        <v>10</v>
      </c>
      <c r="B294" s="1" t="str">
        <f t="shared" si="4"/>
        <v>Defaultgls01-hk22a01:111:e400:fc8e::InvalidTitle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25">
      <c r="A295" s="1" t="s">
        <v>10</v>
      </c>
      <c r="B295" s="1" t="str">
        <f t="shared" si="4"/>
        <v>Defaultgls01-sg225.155.222.4InvalidTitle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25">
      <c r="A296" s="1" t="s">
        <v>10</v>
      </c>
      <c r="B296" s="1" t="str">
        <f t="shared" si="4"/>
        <v>Defaultgls01-sg221.3.79.5InvalidTitle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25">
      <c r="A297" s="1" t="s">
        <v>10</v>
      </c>
      <c r="B297" s="1" t="str">
        <f t="shared" si="4"/>
        <v>Defaultgls01-sg221.2.207.0InvalidTitle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25">
      <c r="A298" s="1" t="s">
        <v>10</v>
      </c>
      <c r="B298" s="1" t="str">
        <f t="shared" si="4"/>
        <v>Defaultgls01-sg223.103.155.160InvalidTitle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25">
      <c r="A299" s="1" t="s">
        <v>10</v>
      </c>
      <c r="B299" s="1" t="str">
        <f t="shared" si="4"/>
        <v>Defaultgls01-sg22a01:111:f400:ff8f::InvalidTitle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25">
      <c r="A300" s="1" t="s">
        <v>10</v>
      </c>
      <c r="B300" s="1" t="str">
        <f t="shared" si="4"/>
        <v>Defaultgls01-sg22a01:111:e400:fc8f::InvalidTitle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25">
      <c r="A301" s="1" t="s">
        <v>10</v>
      </c>
      <c r="B301" s="1" t="str">
        <f t="shared" si="4"/>
        <v>Defaultgls06-fra25.157.216.4InvalidTitle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25">
      <c r="A302" s="1" t="s">
        <v>10</v>
      </c>
      <c r="B302" s="1" t="str">
        <f t="shared" si="4"/>
        <v>Defaultgls06-fra25.157.152.5InvalidTitle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25">
      <c r="A303" s="1" t="s">
        <v>10</v>
      </c>
      <c r="B303" s="1" t="str">
        <f t="shared" si="4"/>
        <v>Defaultgls06-lej51.5.80.128InvalidTitle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25">
      <c r="A304" s="1" t="s">
        <v>10</v>
      </c>
      <c r="B304" s="1" t="str">
        <f t="shared" si="4"/>
        <v>Defaultgls06-lej2a01:4180:4051:0a00::InvalidTitle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25">
      <c r="A305" s="1" t="s">
        <v>10</v>
      </c>
      <c r="B305" s="1" t="str">
        <f t="shared" si="4"/>
        <v>Defaultgls06-lej2a01:4180:c050:0461::InvalidTitle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25">
      <c r="A306" s="1" t="s">
        <v>10</v>
      </c>
      <c r="B306" s="1" t="str">
        <f t="shared" si="4"/>
        <v>Defaultgls06-lej25.157.218.4InvalidTitle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25">
      <c r="A307" s="1" t="s">
        <v>10</v>
      </c>
      <c r="B307" s="1" t="str">
        <f t="shared" si="4"/>
        <v>Defaultgls06-lej25.157.154.5InvalidTitle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25">
      <c r="A308" s="1" t="s">
        <v>10</v>
      </c>
      <c r="B308" s="1" t="str">
        <f t="shared" si="4"/>
        <v>Defaultnam09-by552.100.168.0InvalidTitle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25">
      <c r="A309" s="1" t="s">
        <v>10</v>
      </c>
      <c r="B309" s="1" t="str">
        <f t="shared" si="4"/>
        <v>Defaultson02-db540.94.98.0InvalidTitle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25">
      <c r="A310" s="1" t="s">
        <v>10</v>
      </c>
      <c r="B310" s="1" t="str">
        <f t="shared" si="4"/>
        <v>Defaultson01-dm325.155.156.4InvalidTitle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25">
      <c r="A311" s="1" t="s">
        <v>10</v>
      </c>
      <c r="B311" s="1" t="str">
        <f t="shared" si="4"/>
        <v>Defaultsfr01-mr240.94.79.0InvalidTitle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25">
      <c r="A312" s="1" t="s">
        <v>10</v>
      </c>
      <c r="B312" s="1" t="str">
        <f t="shared" si="4"/>
        <v>Defaultsjp01-osa2a01:111:e400:fc8a::InvalidTitle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25">
      <c r="A313" s="1" t="s">
        <v>10</v>
      </c>
      <c r="B313" s="1" t="str">
        <f t="shared" si="4"/>
        <v>Defaultsjp01-osa2a01:111:e401:bc::InvalidTitle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25">
      <c r="A314" s="1" t="s">
        <v>10</v>
      </c>
      <c r="B314" s="1" t="str">
        <f t="shared" si="4"/>
        <v>Defaultsfr01-pr240.94.80.0InvalidTitle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25">
      <c r="A315" s="1" t="s">
        <v>10</v>
      </c>
      <c r="B315" s="1" t="str">
        <f t="shared" si="4"/>
        <v>Defaultsap01-ps110.233.196.5InvalidTitle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25">
      <c r="A316" s="1" t="s">
        <v>10</v>
      </c>
      <c r="B316" s="1" t="str">
        <f t="shared" si="4"/>
        <v>Defaultsap01-ps12a01:111:f400:fec6::InvalidTitle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25">
      <c r="A317" s="1" t="s">
        <v>10</v>
      </c>
      <c r="B317" s="1" t="str">
        <f t="shared" si="4"/>
        <v>Defaultsap01-ps12a01:111:e400:fc84::InvalidTitle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25">
      <c r="A318" s="1" t="s">
        <v>10</v>
      </c>
      <c r="B318" s="1" t="str">
        <f t="shared" si="4"/>
        <v>Defaultsap01-pu140.107.226.0InvalidTitle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25">
      <c r="A319" s="1" t="s">
        <v>10</v>
      </c>
      <c r="B319" s="1" t="str">
        <f t="shared" si="4"/>
        <v>Defaultsjp01-tyc20.128.20.4InvalidTitle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25">
      <c r="A320" s="1" t="s">
        <v>10</v>
      </c>
      <c r="B320" s="1" t="str">
        <f t="shared" si="4"/>
        <v>Defaultsna03-dm620.128.42.4InvalidTitle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25">
      <c r="A321" s="1" t="s">
        <v>10</v>
      </c>
      <c r="B321" s="1" t="str">
        <f t="shared" si="4"/>
        <v>Defaultsna04-co1157.56.209.144InvalidTitle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25">
      <c r="A322" s="1" t="s">
        <v>10</v>
      </c>
      <c r="B322" s="1" t="str">
        <f t="shared" ref="B322:B385" si="5">A322&amp;D322&amp;E322&amp;I322</f>
        <v>Defaultsna04-co12a01:111:e400:fc97::InvalidTitle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25">
      <c r="A323" s="1" t="s">
        <v>10</v>
      </c>
      <c r="B323" s="1" t="str">
        <f t="shared" si="5"/>
        <v>Defaultsna04-co140.107.239.0InvalidTitle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25">
      <c r="A324" s="1" t="s">
        <v>10</v>
      </c>
      <c r="B324" s="1" t="str">
        <f t="shared" si="5"/>
        <v>Defaultsna04-cy1157.56.210.88InvalidTitle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25">
      <c r="A325" s="1" t="s">
        <v>10</v>
      </c>
      <c r="B325" s="1" t="str">
        <f t="shared" si="5"/>
        <v>Defaultsna04-cy12a01:111:e400:fc9a::InvalidTitle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25">
      <c r="A326" s="1" t="s">
        <v>10</v>
      </c>
      <c r="B326" s="1" t="str">
        <f t="shared" si="5"/>
        <v>Defaultsna04-cy140.107.235.0InvalidTitle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25">
      <c r="A327" s="1" t="s">
        <v>10</v>
      </c>
      <c r="B327" s="1" t="str">
        <f t="shared" si="5"/>
        <v>Defaultsna04-sn42a01:111:f400:fec3::InvalidTitle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25">
      <c r="A328" s="1" t="s">
        <v>10</v>
      </c>
      <c r="B328" s="1" t="str">
        <f t="shared" si="5"/>
        <v>Defaultsna04-sn42a01:111:e400:3886::InvalidTitle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25">
      <c r="A329" s="1" t="s">
        <v>10</v>
      </c>
      <c r="B329" s="1" t="str">
        <f t="shared" si="5"/>
        <v>Defaultson01-co125.155.154.4InvalidTitle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25">
      <c r="A330" s="1" t="s">
        <v>10</v>
      </c>
      <c r="B330" s="1" t="str">
        <f t="shared" si="5"/>
        <v>Defaultson01-co12a01:111:f400:ff45::InvalidTitle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25">
      <c r="A331" s="1" t="s">
        <v>10</v>
      </c>
      <c r="B331" s="1" t="str">
        <f t="shared" si="5"/>
        <v>Defaultson01-dm325.155.28.0InvalidTitle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25">
      <c r="A332" s="1" t="s">
        <v>10</v>
      </c>
      <c r="B332" s="1" t="str">
        <f t="shared" si="5"/>
        <v>Defaultson01-dm32a01:111:f400:ff46::InvalidTitle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25">
      <c r="A333" s="1" t="s">
        <v>10</v>
      </c>
      <c r="B333" s="1" t="str">
        <f t="shared" si="5"/>
        <v>Defaultson01-dm32a01:111:e400:fe46::InvalidTitle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25">
      <c r="A334" s="1" t="s">
        <v>10</v>
      </c>
      <c r="B334" s="1" t="str">
        <f t="shared" si="5"/>
        <v>Defaultson01-dm32a01:111:e400:fc51::InvalidTitle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25">
      <c r="A335" s="1" t="s">
        <v>10</v>
      </c>
      <c r="B335" s="1" t="str">
        <f t="shared" si="5"/>
        <v>Defaultson01-sn125.155.152.4InvalidTitle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25">
      <c r="A336" s="1" t="s">
        <v>10</v>
      </c>
      <c r="B336" s="1" t="str">
        <f t="shared" si="5"/>
        <v>Defaultson01-sn125.155.24.0InvalidTitle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25">
      <c r="A337" s="1" t="s">
        <v>10</v>
      </c>
      <c r="B337" s="1" t="str">
        <f t="shared" si="5"/>
        <v>Defaultson02-db521.3.1.6InvalidTitle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25">
      <c r="A338" s="1" t="s">
        <v>10</v>
      </c>
      <c r="B338" s="1" t="str">
        <f t="shared" si="5"/>
        <v>Defaultaus01-me121.2.244.0MismatchedDcName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25">
      <c r="A339" s="1" t="s">
        <v>10</v>
      </c>
      <c r="B339" s="1" t="str">
        <f t="shared" si="5"/>
        <v>Defaulteur02-am52a01:111:f400:fe07::MismatchedDcName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25">
      <c r="A340" s="1" t="s">
        <v>10</v>
      </c>
      <c r="B340" s="1" t="str">
        <f t="shared" si="5"/>
        <v>Defaulteur05-db852.101.87.0MismatchedDcName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25">
      <c r="A341" s="1" t="s">
        <v>10</v>
      </c>
      <c r="B341" s="1" t="str">
        <f t="shared" si="5"/>
        <v>Defaulteur06-db82a01:111:f400:fe0f::MismatchedDcName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25">
      <c r="A342" s="1" t="s">
        <v>10</v>
      </c>
      <c r="B342" s="1" t="str">
        <f t="shared" si="5"/>
        <v>Defaulteur07-vi12a01:111:f400:fe16::MismatchedDcName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25">
      <c r="A343" s="1" t="s">
        <v>10</v>
      </c>
      <c r="B343" s="1" t="str">
        <f t="shared" si="5"/>
        <v>Defaultfra01-mr210.118.129.0MismatchedDcName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25">
      <c r="A344" s="1" t="s">
        <v>10</v>
      </c>
      <c r="B344" s="1" t="str">
        <f t="shared" si="5"/>
        <v>Defaultgbr01-cwl25.154.21.16MismatchedDcName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25">
      <c r="A345" s="1" t="s">
        <v>10</v>
      </c>
      <c r="B345" s="1" t="str">
        <f t="shared" si="5"/>
        <v>Defaultgbr01-lo225.154.20.16MismatchedDcName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25">
      <c r="A346" s="1" t="s">
        <v>10</v>
      </c>
      <c r="B346" s="1" t="str">
        <f t="shared" si="5"/>
        <v>Defaultgls01-am52a01:111:f400:ff02::MismatchedDcName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25">
      <c r="A347" s="1" t="s">
        <v>10</v>
      </c>
      <c r="B347" s="1" t="str">
        <f t="shared" si="5"/>
        <v>Defaultgls01-am6104.47.17.128MismatchedDcName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25">
      <c r="A348" s="1" t="s">
        <v>10</v>
      </c>
      <c r="B348" s="1" t="str">
        <f t="shared" si="5"/>
        <v>Defaultgls07-sn510.40.120.4MismatchedDcName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25">
      <c r="A349" s="1" t="s">
        <v>10</v>
      </c>
      <c r="B349" s="1" t="str">
        <f t="shared" si="5"/>
        <v>Defaultgtm-gls07-syncgroup02-sn523.103.191.0MismatchedDcName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25">
      <c r="A350" s="1" t="s">
        <v>10</v>
      </c>
      <c r="B350" s="1" t="str">
        <f t="shared" si="5"/>
        <v>Defaultgtm-syncgroup01-hk22a01:111:e400:7fbd::MismatchedDcName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25">
      <c r="A351" s="1" t="s">
        <v>10</v>
      </c>
      <c r="B351" s="1" t="str">
        <f t="shared" si="5"/>
        <v>Defaultgtm-syncgroup02-am325.152.8.0MismatchedDcName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25">
      <c r="A352" s="1" t="s">
        <v>10</v>
      </c>
      <c r="B352" s="1" t="str">
        <f t="shared" si="5"/>
        <v>Defaultgtm-syncgroup02-am325.154.4.0MismatchedDcName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25">
      <c r="A353" s="1" t="s">
        <v>10</v>
      </c>
      <c r="B353" s="1" t="str">
        <f t="shared" si="5"/>
        <v>Defaultgtm-syncgroup02-am3104.47.4.0MismatchedDcName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25">
      <c r="A354" s="1" t="s">
        <v>10</v>
      </c>
      <c r="B354" s="1" t="str">
        <f t="shared" si="5"/>
        <v>Defaultgtm-syncgroup02-am32a01:111:e400:7f04::MismatchedDcName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25">
      <c r="A355" s="1" t="s">
        <v>10</v>
      </c>
      <c r="B355" s="1" t="str">
        <f t="shared" si="5"/>
        <v>Defaultgtm-syncgroup02-am32a01:111:e400:7e1c::MismatchedDcName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25">
      <c r="A356" s="1" t="s">
        <v>10</v>
      </c>
      <c r="B356" s="1" t="str">
        <f t="shared" si="5"/>
        <v>Defaultkor01-ps22a01:111:e400:fcb2::MismatchedDcName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25">
      <c r="A357" s="1" t="s">
        <v>10</v>
      </c>
      <c r="B357" s="1" t="str">
        <f t="shared" si="5"/>
        <v>Defaultkor01-ps210.230.63.0MismatchedDcName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25">
      <c r="A358" s="1" t="s">
        <v>10</v>
      </c>
      <c r="B358" s="1" t="str">
        <f t="shared" si="5"/>
        <v>Defaultkor01-ps22a01:111:e400:38b2::MismatchedDcName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25">
      <c r="A359" s="1" t="s">
        <v>10</v>
      </c>
      <c r="B359" s="1" t="str">
        <f t="shared" si="5"/>
        <v>Defaultkor01-ps22a01:111:e401:b2::MismatchedDcName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25">
      <c r="A360" s="1" t="s">
        <v>10</v>
      </c>
      <c r="B360" s="1" t="str">
        <f t="shared" si="5"/>
        <v>Defaultna-by225.155.16.16MismatchedDcName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25">
      <c r="A361" s="1" t="s">
        <v>10</v>
      </c>
      <c r="B361" s="1" t="str">
        <f t="shared" si="5"/>
        <v>Defaultnam03-dm340.93.8.0MismatchedDcName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25">
      <c r="A362" s="1" t="s">
        <v>10</v>
      </c>
      <c r="B362" s="1" t="str">
        <f t="shared" si="5"/>
        <v>Defaultnam05-by240.92.13.0MismatchedDcName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25">
      <c r="A363" s="1" t="s">
        <v>10</v>
      </c>
      <c r="B363" s="1" t="str">
        <f t="shared" si="5"/>
        <v>Defaultnam05-co140.92.12.0MismatchedDcName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25">
      <c r="A364" s="1" t="s">
        <v>10</v>
      </c>
      <c r="B364" s="1" t="str">
        <f t="shared" si="5"/>
        <v>Defaultnam05-co125.154.49.16MismatchedDcName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25">
      <c r="A365" s="1" t="s">
        <v>10</v>
      </c>
      <c r="B365" s="1" t="str">
        <f t="shared" si="5"/>
        <v>Defaultnam05-dm325.154.48.16MismatchedDcName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25">
      <c r="A366" s="1" t="s">
        <v>10</v>
      </c>
      <c r="B366" s="1" t="str">
        <f t="shared" si="5"/>
        <v>Defaultnam07-bn152.101.0.0MismatchedDcName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25">
      <c r="A367" s="1" t="s">
        <v>10</v>
      </c>
      <c r="B367" s="1" t="str">
        <f t="shared" si="5"/>
        <v>Defaultnam09-by52a01:111:f400:fe58::MismatchedDcName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25">
      <c r="A368" s="1" t="s">
        <v>10</v>
      </c>
      <c r="B368" s="1" t="str">
        <f t="shared" si="5"/>
        <v>Defaultsap01-hk22a01:111:e400:fc09::MismatchedDcName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25">
      <c r="A369" s="1" t="s">
        <v>10</v>
      </c>
      <c r="B369" s="1" t="str">
        <f t="shared" si="5"/>
        <v>Defaultseu01-am02a01:111:e400:381b::MismatchedDcName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25">
      <c r="A370" s="1" t="s">
        <v>10</v>
      </c>
      <c r="B370" s="1" t="str">
        <f t="shared" si="5"/>
        <v>Defaultseu02-am010.233.146.5MismatchedDcName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25">
      <c r="A371" s="1" t="s">
        <v>10</v>
      </c>
      <c r="B371" s="1" t="str">
        <f t="shared" si="5"/>
        <v>Defaultseu02-am0157.56.208.96MismatchedDcName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25">
      <c r="A372" s="1" t="s">
        <v>10</v>
      </c>
      <c r="B372" s="1" t="str">
        <f t="shared" si="5"/>
        <v>Defaultseu02-am02a01:111:f400:ffd0::MismatchedDcName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25">
      <c r="A373" s="1" t="s">
        <v>10</v>
      </c>
      <c r="B373" s="1" t="str">
        <f t="shared" si="5"/>
        <v>Defaultseu02-am02a01:111:e400:fc1a::MismatchedDcName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25">
      <c r="A374" s="1" t="s">
        <v>10</v>
      </c>
      <c r="B374" s="1" t="str">
        <f t="shared" si="5"/>
        <v>Defaultseu02-am02a01:111:e401:001a::MismatchedDcName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25">
      <c r="A375" s="1" t="s">
        <v>10</v>
      </c>
      <c r="B375" s="1" t="str">
        <f t="shared" si="5"/>
        <v>Defaultsfr01-mr22001:489a:203:4d::MismatchedDcName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25">
      <c r="A376" s="1" t="s">
        <v>10</v>
      </c>
      <c r="B376" s="1" t="str">
        <f t="shared" si="5"/>
        <v>Defaultsjp01-osa20.128.20.132MismatchedDcName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25">
      <c r="A377" s="1" t="s">
        <v>10</v>
      </c>
      <c r="B377" s="1" t="str">
        <f t="shared" si="5"/>
        <v>Defaultsjp01-osa10.13.10.128MismatchedDcName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25">
      <c r="A378" s="1" t="s">
        <v>10</v>
      </c>
      <c r="B378" s="1" t="str">
        <f t="shared" si="5"/>
        <v>Defaultsjp01-osa157.56.210.200MismatchedDcName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25">
      <c r="A379" s="1" t="s">
        <v>10</v>
      </c>
      <c r="B379" s="1" t="str">
        <f t="shared" si="5"/>
        <v>Defaultsjp01-osa2a01:111:f400:feeb::MismatchedDcName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25">
      <c r="A380" s="1" t="s">
        <v>10</v>
      </c>
      <c r="B380" s="1" t="str">
        <f t="shared" si="5"/>
        <v>Defaultsjp01-osa40.94.243.0MismatchedDcName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25">
      <c r="A381" s="1" t="s">
        <v>10</v>
      </c>
      <c r="B381" s="1" t="str">
        <f t="shared" si="5"/>
        <v>Defaultsna03-sn42a01:111:e400:389e::MismatchedDcName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25">
      <c r="A382" s="1" t="s">
        <v>10</v>
      </c>
      <c r="B382" s="1" t="str">
        <f t="shared" si="5"/>
        <v>Defaultson01-co12a01:111:e400:fe45::MismatchedDcName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25">
      <c r="A383" s="1" t="s">
        <v>10</v>
      </c>
      <c r="B383" s="1" t="str">
        <f t="shared" si="5"/>
        <v>Defaultzaf01-ct22a01:111:e400:fc13::MismatchedDcName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25">
      <c r="A384" s="1" t="s">
        <v>10</v>
      </c>
      <c r="B384" s="1" t="str">
        <f t="shared" si="5"/>
        <v>Defaultgls01-cybN/ANoMappingDcName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25">
      <c r="A385" s="1" t="s">
        <v>1358</v>
      </c>
      <c r="B385" s="1" t="str">
        <f t="shared" si="5"/>
        <v>Galacakegallatin-sha10.41.138.5EmptyDatacenter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25">
      <c r="A386" s="1" t="s">
        <v>1358</v>
      </c>
      <c r="B386" s="1" t="str">
        <f t="shared" ref="B386:B401" si="6">A386&amp;D386&amp;E386&amp;I386</f>
        <v>Galacakegallatin-sha10.41.140.0EmptyDatacenter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25">
      <c r="A387" s="1" t="s">
        <v>1358</v>
      </c>
      <c r="B387" s="1" t="str">
        <f t="shared" si="6"/>
        <v>Galacakegallatin-sha10.41.146.0EmptyDatacenter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25">
      <c r="A388" s="1" t="s">
        <v>1358</v>
      </c>
      <c r="B388" s="1" t="str">
        <f t="shared" si="6"/>
        <v>Galacakegallatin-sha10.41.148.0EmptyDatacenter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25">
      <c r="A389" s="1" t="s">
        <v>1358</v>
      </c>
      <c r="B389" s="1" t="str">
        <f t="shared" si="6"/>
        <v>Galacakegallatin-bjb10.41.67.0MismatchedDcName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25">
      <c r="A390" s="1" t="s">
        <v>1358</v>
      </c>
      <c r="B390" s="1" t="str">
        <f t="shared" si="6"/>
        <v>Galacakegallatin-w15-sha10.41.194.22MismatchedDcName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25">
      <c r="A391" s="1" t="s">
        <v>1358</v>
      </c>
      <c r="B391" s="1" t="str">
        <f t="shared" si="6"/>
        <v>Galacakescn01-bjs10.10.0.0MismatchedDcName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25">
      <c r="A392" s="1" t="s">
        <v>1358</v>
      </c>
      <c r="B392" s="1" t="str">
        <f t="shared" si="6"/>
        <v>Galacakescn01-sh010.12.57.4MismatchedDcName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25">
      <c r="A393" s="1" t="s">
        <v>1358</v>
      </c>
      <c r="B393" s="1" t="str">
        <f t="shared" si="6"/>
        <v>Galacakescn01-sh010.12.0.0MismatchedDcName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25">
      <c r="A394" s="1" t="s">
        <v>1358</v>
      </c>
      <c r="B394" s="1" t="str">
        <f t="shared" si="6"/>
        <v>Galacakescn01-sh010.12.32.0MismatchedDcName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25">
      <c r="A395" s="1" t="s">
        <v>1358</v>
      </c>
      <c r="B395" s="1" t="str">
        <f t="shared" si="6"/>
        <v>Galacakegallatin-bjbN/ANoMappingDcName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25">
      <c r="A396" s="1" t="s">
        <v>1358</v>
      </c>
      <c r="B396" s="1" t="str">
        <f t="shared" si="6"/>
        <v>Galacakegallatin-w15-bjbN/ANoMappingDcName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25">
      <c r="A397" s="1" t="s">
        <v>1386</v>
      </c>
      <c r="B397" s="1" t="str">
        <f t="shared" si="6"/>
        <v>RXgls09-mnzN/ANoMappingDcName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25">
      <c r="A398" s="1" t="s">
        <v>1386</v>
      </c>
      <c r="B398" s="1" t="str">
        <f t="shared" si="6"/>
        <v>RXgtm-gls09-syncgroup01-mnzN/ANoMappingDcName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25">
      <c r="A399" s="1" t="s">
        <v>1386</v>
      </c>
      <c r="B399" s="1" t="str">
        <f t="shared" si="6"/>
        <v>RXgtm-gls09-syncgroup02-mnzN/ANoMappingDcName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25">
      <c r="A400" s="1" t="s">
        <v>1386</v>
      </c>
      <c r="B400" s="1" t="str">
        <f t="shared" si="6"/>
        <v>RXsec01-mnzN/ANoMappingDcName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25">
      <c r="A401" s="1" t="s">
        <v>1386</v>
      </c>
      <c r="B401" s="1" t="str">
        <f t="shared" si="6"/>
        <v>RXgls09-mnz10.20.8.130Obsolete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2020-01-14T03:27:53Z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